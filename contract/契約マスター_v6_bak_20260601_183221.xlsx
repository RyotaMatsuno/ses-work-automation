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  <sheet xmlns:r="http://schemas.openxmlformats.org/officeDocument/2006/relationships" name="直契約" sheetId="6" state="visible" r:id="rId6"/>
    <sheet xmlns:r="http://schemas.openxmlformats.org/officeDocument/2006/relationships" name="備考・メモ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  <xf numFmtId="0" fontId="38" fillId="0" borderId="0" pivotButton="0" quotePrefix="0" xfId="0"/>
    <xf numFmtId="0" fontId="38" fillId="21" borderId="0" pivotButton="0" quotePrefix="0" xfId="0"/>
    <xf numFmtId="0" fontId="4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退場済み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5月末終了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>
        <v>700000</v>
      </c>
      <c r="I32" s="120" t="n">
        <v>45</v>
      </c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inlineStr">
        <is>
          <t>FT経由のためTERRA請求なし</t>
        </is>
      </c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>
        <v>15000</v>
      </c>
      <c r="Q33" s="125" t="n"/>
      <c r="R33" s="125" t="inlineStr">
        <is>
          <t>TERRA請求額・担当者要確認</t>
        </is>
      </c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>
        <v>15000</v>
      </c>
      <c r="Q34" s="125" t="n"/>
      <c r="R34" s="125" t="inlineStr">
        <is>
          <t>TERRAプロパー扱いで15,000を仮入力。確認必要</t>
        </is>
      </c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稼働中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A37" s="101" t="inlineStr">
        <is>
          <t>岡本</t>
        </is>
      </c>
      <c r="B37" s="101" t="inlineStr">
        <is>
          <t>P</t>
        </is>
      </c>
      <c r="C37" s="101" t="inlineStr">
        <is>
          <t>稼働中</t>
        </is>
      </c>
      <c r="D37" s="101" t="inlineStr">
        <is>
          <t>齋藤よしまさ</t>
        </is>
      </c>
      <c r="E37" s="101" t="inlineStr">
        <is>
          <t>2026/5</t>
        </is>
      </c>
      <c r="F37" s="101" t="inlineStr">
        <is>
          <t>長期</t>
        </is>
      </c>
      <c r="G37" s="101" t="inlineStr">
        <is>
          <t>（確認中）</t>
        </is>
      </c>
      <c r="H37" s="101" t="n">
        <v>430000</v>
      </c>
      <c r="I37" s="101" t="n">
        <v>45</v>
      </c>
      <c r="P37" s="101" t="n">
        <v>15000</v>
      </c>
      <c r="Q37" s="101" t="n">
        <v>9000</v>
      </c>
      <c r="R37" s="101" t="inlineStr">
        <is>
          <t>初月5/15入場 0.61人月。TERRA請求=15,000×0.61=9,150円（7月入金）。松野実入り=TERRA請求×40%（源泉後）= 5,988円/月・初月3,653円</t>
        </is>
      </c>
    </row>
    <row r="38">
      <c r="A38" s="129" t="inlineStr">
        <is>
          <t>稼働中合計</t>
        </is>
      </c>
      <c r="B38" s="130" t="n"/>
      <c r="C38" s="130" t="n"/>
      <c r="D38" s="130" t="n"/>
      <c r="E38" s="130" t="n"/>
      <c r="F38" s="130" t="n"/>
      <c r="G38" s="130" t="n"/>
      <c r="H38" s="131">
        <f>SUMIF(C4:C34,"稼働中",H4:H34)</f>
        <v/>
      </c>
      <c r="I38" s="132" t="n"/>
      <c r="J38" s="132" t="n"/>
      <c r="K38" s="132" t="n"/>
      <c r="L38" s="132" t="n"/>
      <c r="M38" s="132" t="n"/>
      <c r="N38" s="132" t="n"/>
      <c r="O38" s="131">
        <f>SUMIF(C4:C34,"稼働中",O4:O34)</f>
        <v/>
      </c>
      <c r="P38" s="131">
        <f>SUMIF(C4:C34,"稼働中",P4:P34)</f>
        <v/>
      </c>
      <c r="Q38" s="131">
        <f>SUMIF(C4:C34,"稼働中",Q4:Q34)</f>
        <v/>
      </c>
      <c r="R38" s="131">
        <f>SUMIF(C4:C34,"稼働中",R4:R34)</f>
        <v/>
      </c>
      <c r="S38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I5-0</f>
        <v/>
      </c>
      <c r="K5" s="144" t="n">
        <v>30</v>
      </c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I6-10000</f>
        <v/>
      </c>
      <c r="K6" s="144" t="n">
        <v>45</v>
      </c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I7-10000</f>
        <v/>
      </c>
      <c r="K7" s="144" t="n">
        <v>45</v>
      </c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 / 【新営業報酬ルール(2026-05確定)】紹介のみ=請求額x20% / 自己完結=請求額x90% / 松野と成約=松野50%・岡本10%・新営業40% / 岡本と成約=岡本60%・新営業40% / 小坂代表と成約=粗利x50%請求→新営業に請求額x90%払出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>
        <v>0</v>
      </c>
      <c r="L4" s="114">
        <f>J4-P4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>
        <v>0</v>
      </c>
      <c r="L6" s="114">
        <f>J6-P6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>
        <v>0</v>
      </c>
      <c r="L7" s="114">
        <f>J7-P7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>
        <v>0</v>
      </c>
      <c r="L8" s="114">
        <f>J8-P8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>
        <v>0</v>
      </c>
      <c r="L9" s="114">
        <f>J9-P9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>
        <v>0</v>
      </c>
      <c r="L10" s="114">
        <f>J10-P10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>
        <v>0</v>
      </c>
      <c r="L11" s="114">
        <f>J11-P11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J12-K12-P12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n">
        <v>0</v>
      </c>
      <c r="L13" s="101">
        <f>J13-P13</f>
        <v/>
      </c>
      <c r="M13" s="101" t="n">
        <v>45</v>
      </c>
      <c r="N13" s="101" t="inlineStr">
        <is>
          <t>所属からメール</t>
        </is>
      </c>
      <c r="O13" s="101" t="inlineStr"/>
      <c r="P13" s="101" t="n">
        <v>0</v>
      </c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/>
    <row r="15">
      <c r="A15" s="129" t="inlineStr">
        <is>
          <t>稼働中合計</t>
        </is>
      </c>
      <c r="B15" s="130" t="n"/>
      <c r="C15" s="130" t="n"/>
      <c r="D15" s="130" t="n"/>
      <c r="E15" s="130" t="n"/>
      <c r="F15" s="130" t="n"/>
      <c r="G15" s="131">
        <f>SUMIF(B4:B13,"稼働中",G4:G13)</f>
        <v/>
      </c>
      <c r="H15" s="132" t="n"/>
      <c r="I15" s="131">
        <f>SUMIF(B4:B13,"稼働中",I4:I13)</f>
        <v/>
      </c>
      <c r="J15" s="131">
        <f>SUMIF(B4:B13,"稼働中",J4:J13)</f>
        <v/>
      </c>
      <c r="K15" s="131">
        <f>SUMIF(B4:B13,"稼働中",K4:K13)</f>
        <v/>
      </c>
      <c r="L15" s="131">
        <f>SUMIF(B4:B13,"稼働中",L4:L13)</f>
        <v/>
      </c>
      <c r="M15" s="132" t="n"/>
      <c r="N15" s="132" t="n"/>
      <c r="O15" s="132" t="n"/>
      <c r="P15" s="132" t="n"/>
      <c r="Q15" s="132" t="n"/>
      <c r="R15" s="132" t="n"/>
    </row>
    <row r="16">
      <c r="A16" s="101" t="inlineStr">
        <is>
          <t>岡本折半</t>
        </is>
      </c>
      <c r="B16" s="101" t="inlineStr">
        <is>
          <t>稼働中</t>
        </is>
      </c>
      <c r="C16" s="101" t="inlineStr">
        <is>
          <t>遠藤健太</t>
        </is>
      </c>
      <c r="D16" s="101" t="inlineStr">
        <is>
          <t>2026/7</t>
        </is>
      </c>
      <c r="E16" s="101" t="inlineStr">
        <is>
          <t>長期</t>
        </is>
      </c>
      <c r="F16" s="101" t="inlineStr">
        <is>
          <t>スウェル</t>
        </is>
      </c>
      <c r="G16" s="101" t="n">
        <v>600000</v>
      </c>
      <c r="H16" s="101" t="n">
        <v>550000</v>
      </c>
      <c r="I16" s="101">
        <f>G16-H16</f>
        <v/>
      </c>
      <c r="J16" s="101">
        <f>I16*0.68</f>
        <v/>
      </c>
      <c r="K16" s="101">
        <f>J16*0.5</f>
        <v/>
      </c>
      <c r="L16" s="101">
        <f>J16-K16-P16</f>
        <v/>
      </c>
      <c r="M16" s="101" t="n">
        <v>45</v>
      </c>
      <c r="N16" s="101" t="inlineStr">
        <is>
          <t>上位からくる</t>
        </is>
      </c>
      <c r="O16" s="101" t="inlineStr"/>
      <c r="P16" s="101" t="n">
        <v>0</v>
      </c>
      <c r="Q16" s="101" t="inlineStr">
        <is>
          <t>単月更新</t>
        </is>
      </c>
      <c r="R16" s="101" t="inlineStr">
        <is>
          <t>赤坂見附・リモート併用。上位Rezon。精算140-200h上下割。岡本折半=粗利×68%の50%払出。9月15日入金</t>
        </is>
      </c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  <row r="11">
      <c r="A11" s="206" t="inlineStr">
        <is>
          <t>■ 2026年 月次実入り実績（確定値）</t>
        </is>
      </c>
    </row>
    <row r="12">
      <c r="A12" s="207" t="inlineStr">
        <is>
          <t>対象月</t>
        </is>
      </c>
      <c r="B12" s="207" t="inlineStr">
        <is>
          <t>入金月</t>
        </is>
      </c>
      <c r="C12" s="207" t="inlineStr">
        <is>
          <t>総実入り(円)</t>
        </is>
      </c>
      <c r="D12" s="207" t="inlineStr">
        <is>
          <t>岡本払出(円)</t>
        </is>
      </c>
      <c r="E12" s="207" t="inlineStr">
        <is>
          <t>木原分(円)</t>
        </is>
      </c>
      <c r="F12" s="207" t="inlineStr">
        <is>
          <t>松野手残り(円)</t>
        </is>
      </c>
      <c r="G12" s="207" t="inlineStr">
        <is>
          <t>備考</t>
        </is>
      </c>
    </row>
    <row r="13">
      <c r="A13" s="101" t="inlineStr">
        <is>
          <t>4月稼働分</t>
        </is>
      </c>
      <c r="B13" s="101" t="inlineStr">
        <is>
          <t>2026年6月</t>
        </is>
      </c>
      <c r="C13" s="101" t="n">
        <v>787202</v>
      </c>
      <c r="D13" s="101" t="n">
        <v>70800</v>
      </c>
      <c r="E13" s="101" t="n">
        <v>116000</v>
      </c>
      <c r="F13" s="101">
        <f>C13-D13-E13</f>
        <v/>
      </c>
      <c r="G13" s="101" t="inlineStr">
        <is>
          <t>岡本払出70,800・木原116,000控除後</t>
        </is>
      </c>
    </row>
    <row r="14">
      <c r="A14" s="101" t="inlineStr">
        <is>
          <t>5月稼働分</t>
        </is>
      </c>
      <c r="B14" s="101" t="inlineStr">
        <is>
          <t>2026年7月</t>
        </is>
      </c>
      <c r="C14" s="101" t="n">
        <v>825282</v>
      </c>
      <c r="D14" s="101" t="n">
        <v>80320</v>
      </c>
      <c r="E14" s="101" t="n">
        <v>116000</v>
      </c>
      <c r="F14" s="101">
        <f>C14-D14-E14</f>
        <v/>
      </c>
      <c r="G14" s="101" t="inlineStr">
        <is>
          <t>原昌志5月末終了→7月以降木原分96,000に減少の可能性あり（要確認）</t>
        </is>
      </c>
    </row>
    <row r="15">
      <c r="A15" s="101" t="inlineStr">
        <is>
          <t>7月稼働分（遠藤健太含む）</t>
        </is>
      </c>
      <c r="B15" s="101" t="inlineStr">
        <is>
          <t>2026年9月15日</t>
        </is>
      </c>
      <c r="C15" s="101" t="inlineStr">
        <is>
          <t>遠藤健太FT分: 粗利5万×68%=34,000→岡本折半後松野実入り17,000円を含む</t>
        </is>
      </c>
      <c r="G15" s="101" t="inlineStr">
        <is>
          <t>遠藤健太（FT岡本折半）初回入金。9/15確定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style="102" min="2" max="2"/>
    <col width="28" customWidth="1" style="102" min="4" max="4"/>
    <col width="45" customWidth="1" style="102" min="8" max="8"/>
  </cols>
  <sheetData>
    <row r="1">
      <c r="A1" s="208" t="inlineStr">
        <is>
          <t>直契約 管理（2026-06-01作成）</t>
        </is>
      </c>
    </row>
    <row r="2">
      <c r="A2" s="101" t="inlineStr">
        <is>
          <t>請求ルール: 固定月額（粗利計算なし）　岡本支払い: 固定月額</t>
        </is>
      </c>
    </row>
    <row r="3">
      <c r="A3" s="207" t="inlineStr">
        <is>
          <t>ステータス</t>
        </is>
      </c>
      <c r="B3" s="207" t="inlineStr">
        <is>
          <t>取引先名</t>
        </is>
      </c>
      <c r="C3" s="207" t="inlineStr">
        <is>
          <t>請求額(円/月)</t>
        </is>
      </c>
      <c r="D3" s="207" t="inlineStr">
        <is>
          <t>支払サイト</t>
        </is>
      </c>
      <c r="E3" s="207" t="inlineStr">
        <is>
          <t>岡本払出(円/月)</t>
        </is>
      </c>
      <c r="F3" s="207" t="inlineStr">
        <is>
          <t>松野実入り(円/月)</t>
        </is>
      </c>
      <c r="G3" s="207" t="inlineStr">
        <is>
          <t>開始月</t>
        </is>
      </c>
      <c r="H3" s="207" t="inlineStr">
        <is>
          <t>備考</t>
        </is>
      </c>
    </row>
    <row r="4">
      <c r="A4" s="101" t="inlineStr">
        <is>
          <t>稼働中</t>
        </is>
      </c>
      <c r="B4" s="101" t="inlineStr">
        <is>
          <t>鶴見有職研究所</t>
        </is>
      </c>
      <c r="C4" s="101" t="n">
        <v>100000</v>
      </c>
      <c r="D4" s="101" t="inlineStr">
        <is>
          <t>月末締め翌月最終営業日払い</t>
        </is>
      </c>
      <c r="E4" s="101" t="n">
        <v>50000</v>
      </c>
      <c r="F4" s="101">
        <f>C4-E4</f>
        <v/>
      </c>
      <c r="G4" s="101" t="inlineStr">
        <is>
          <t>2026年6月〜</t>
        </is>
      </c>
      <c r="H4" s="101" t="inlineStr">
        <is>
          <t>請求先詳細は別途連携予定。岡本紹介案件（新営業スキーム適用）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style="102" min="1" max="1"/>
  </cols>
  <sheetData>
    <row r="1">
      <c r="A1" s="206" t="inlineStr">
        <is>
          <t>■ 法人化タイミング（2026-06-01確定）</t>
        </is>
      </c>
    </row>
    <row r="2">
      <c r="A2" s="101" t="inlineStr">
        <is>
          <t>推奨タイミング: 2027年上半期（1〜3月）</t>
        </is>
      </c>
    </row>
    <row r="3">
      <c r="A3" s="101" t="inlineStr">
        <is>
          <t>今年中のアクション: 専従者給与届出のみ先行（年末年始前に提出）</t>
        </is>
      </c>
    </row>
    <row r="4">
      <c r="A4" s="101" t="inlineStr">
        <is>
          <t>理由: 2026年内法人化との差額は約32〜47万円。FT直接契約移管（増収+47〜63万）と合わせて2027年1月設立が最適解</t>
        </is>
      </c>
    </row>
    <row r="5">
      <c r="A5" s="101" t="inlineStr"/>
    </row>
    <row r="6">
      <c r="A6" s="206" t="inlineStr">
        <is>
          <t>■ FP小坂さん 所属共有スキーム（2026-05確定）</t>
        </is>
      </c>
    </row>
    <row r="7">
      <c r="A7" s="101" t="inlineStr">
        <is>
          <t>内容: 互いの1社下案件の所属情報を共有→直接調整することで1社下の抜き分を分配</t>
        </is>
      </c>
    </row>
    <row r="8">
      <c r="A8" s="101" t="inlineStr">
        <is>
          <t>パターンA（小坂案件）: 松野岡本が所属と直接交渉→1社下抜き分×80%が松野岡本・20%が小坂（FP件数カウントなし）</t>
        </is>
      </c>
    </row>
    <row r="9">
      <c r="A9" s="101" t="inlineStr">
        <is>
          <t>パターンB（松野岡本案件）: 小坂が所属情報提供→元々の利益そのまま+1社下抜き分×20%が小坂（FP件数カウントあり）</t>
        </is>
      </c>
    </row>
    <row r="10">
      <c r="A10" s="101" t="inlineStr"/>
    </row>
    <row r="11">
      <c r="A11" s="206" t="inlineStr">
        <is>
          <t>■ 直契約（鶴見有職研究所）（2026-06-01確定）</t>
        </is>
      </c>
    </row>
    <row r="12">
      <c r="A12" s="101" t="inlineStr">
        <is>
          <t>月10万固定請求・翌月最終営業日払い・岡本払出5万/月・2026年6月〜</t>
        </is>
      </c>
    </row>
    <row r="13">
      <c r="A13" s="101" t="inlineStr">
        <is>
          <t>請求先詳細は別途連携予定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2026-06-01T09:29:25Z</dcterms:modified>
  <cp:revision>0</cp:revision>
</cp:coreProperties>
</file>