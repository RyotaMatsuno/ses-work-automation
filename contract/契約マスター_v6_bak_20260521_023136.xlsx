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</fonts>
  <fills count="21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入場前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入場前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入場前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入場前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入場前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A37" s="129" t="inlineStr">
        <is>
          <t>稼働中合計</t>
        </is>
      </c>
      <c r="B37" s="130" t="n"/>
      <c r="C37" s="130" t="n"/>
      <c r="D37" s="130" t="n"/>
      <c r="E37" s="130" t="n"/>
      <c r="F37" s="130" t="n"/>
      <c r="G37" s="130" t="n"/>
      <c r="H37" s="131">
        <f>SUMIF(C4:C34,"稼働中",H4:H34)</f>
        <v/>
      </c>
      <c r="I37" s="132" t="n"/>
      <c r="J37" s="132" t="n"/>
      <c r="K37" s="132" t="n"/>
      <c r="L37" s="132" t="n"/>
      <c r="M37" s="132" t="n"/>
      <c r="N37" s="132" t="n"/>
      <c r="O37" s="131">
        <f>SUMIF(C4:C34,"稼働中",O4:O34)</f>
        <v/>
      </c>
      <c r="P37" s="131">
        <f>SUMIF(C4:C34,"稼働中",P4:P34)</f>
        <v/>
      </c>
      <c r="Q37" s="131">
        <f>SUMIF(C4:C34,"稼働中",Q4:Q34)</f>
        <v/>
      </c>
      <c r="R37" s="131">
        <f>SUMIF(C4:C34,"稼働中",R4:R34)</f>
        <v/>
      </c>
      <c r="S37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稼働中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スポット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>
      <c r="A14" s="121" t="inlineStr">
        <is>
          <t>岡本</t>
        </is>
      </c>
      <c r="B14" s="130" t="n"/>
      <c r="C14" s="130" t="n"/>
      <c r="D14" s="130" t="n"/>
      <c r="E14" s="130" t="n"/>
      <c r="F14" s="155" t="n"/>
      <c r="G14" s="123" t="n">
        <v>720000</v>
      </c>
      <c r="H14" s="123" t="n">
        <v>650000</v>
      </c>
      <c r="I14" s="125">
        <f>G13-H13</f>
        <v/>
      </c>
      <c r="J14" s="125" t="n"/>
      <c r="K14" s="125" t="n"/>
      <c r="L14" s="125" t="n"/>
      <c r="M14" s="120" t="n">
        <v>45</v>
      </c>
      <c r="N14" s="124" t="n"/>
      <c r="O14" s="124" t="inlineStr">
        <is>
          <t>LINE</t>
        </is>
      </c>
      <c r="P14" s="123" t="n">
        <v>0</v>
      </c>
      <c r="Q14" s="121" t="inlineStr">
        <is>
          <t>単月更新</t>
        </is>
      </c>
      <c r="R14" s="122" t="inlineStr">
        <is>
          <t>基幹システム開発 中間割170h 岡本担当→全額払出</t>
        </is>
      </c>
    </row>
    <row r="15">
      <c r="A15" s="129" t="inlineStr">
        <is>
          <t>稼働中合計</t>
        </is>
      </c>
      <c r="B15" s="130" t="n"/>
      <c r="C15" s="130" t="n"/>
      <c r="D15" s="130" t="n"/>
      <c r="E15" s="130" t="n"/>
      <c r="F15" s="130" t="n"/>
      <c r="G15" s="131">
        <f>SUMIF(B4:B13,"稼働中",G4:G13)</f>
        <v/>
      </c>
      <c r="H15" s="132" t="n"/>
      <c r="I15" s="131">
        <f>SUMIF(B4:B13,"稼働中",I4:I13)</f>
        <v/>
      </c>
      <c r="J15" s="131">
        <f>SUMIF(B4:B13,"稼働中",J4:J13)</f>
        <v/>
      </c>
      <c r="K15" s="131">
        <f>SUMIF(B4:B13,"稼働中",K4:K13)</f>
        <v/>
      </c>
      <c r="L15" s="131">
        <f>SUMIF(B4:B13,"稼働中",L4:L13)</f>
        <v/>
      </c>
      <c r="M15" s="132" t="n"/>
      <c r="N15" s="132" t="n"/>
      <c r="O15" s="132" t="n"/>
      <c r="P15" s="132" t="n"/>
      <c r="Q15" s="132" t="n"/>
      <c r="R15" s="132" t="n"/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75" t="inlineStr">
        <is>
          <t>2026/06/30</t>
        </is>
      </c>
      <c r="B5" s="120" t="inlineStr">
        <is>
          <t>5月稼働分</t>
        </is>
      </c>
      <c r="C5" s="113" t="n">
        <v>15000</v>
      </c>
      <c r="D5" s="119" t="n">
        <v>1532</v>
      </c>
      <c r="E5" s="113" t="n">
        <v>16500</v>
      </c>
      <c r="F5" s="114" t="n">
        <v>14968</v>
      </c>
      <c r="G5" s="146" t="n">
        <v>26400</v>
      </c>
      <c r="H5" s="176" t="inlineStr">
        <is>
          <t>-</t>
        </is>
      </c>
      <c r="I5" s="177" t="inlineStr">
        <is>
          <t>-</t>
        </is>
      </c>
      <c r="J5" s="178" t="inlineStr">
        <is>
          <t>-</t>
        </is>
      </c>
      <c r="K5" s="179" t="n">
        <v>41368</v>
      </c>
    </row>
    <row r="6" ht="19.5" customHeight="1" s="102">
      <c r="A6" s="180" t="inlineStr">
        <is>
          <t>6月 小計</t>
        </is>
      </c>
      <c r="B6" s="130" t="n"/>
      <c r="C6" s="131">
        <f>SUM(C5:C5)</f>
        <v/>
      </c>
      <c r="D6" s="131">
        <f>SUM(D5:D5)</f>
        <v/>
      </c>
      <c r="E6" s="131">
        <f>SUM(E5:E5)</f>
        <v/>
      </c>
      <c r="F6" s="131">
        <f>SUM(F5:F5)</f>
        <v/>
      </c>
      <c r="G6" s="131">
        <f>SUM(G5:G5)</f>
        <v/>
      </c>
      <c r="H6" s="131">
        <f>SUM(H5:H5)</f>
        <v/>
      </c>
      <c r="I6" s="131">
        <f>SUM(I5:I5)</f>
        <v/>
      </c>
      <c r="J6" s="131">
        <f>SUM(J5:J5)</f>
        <v/>
      </c>
      <c r="K6" s="131">
        <f>SUM(K5:K5)</f>
        <v/>
      </c>
    </row>
    <row r="7" ht="18" customHeight="1" s="102">
      <c r="A7" s="174" t="inlineStr">
        <is>
          <t>◆ 2026年7月 入金分</t>
        </is>
      </c>
      <c r="B7" s="130" t="n"/>
      <c r="C7" s="130" t="n"/>
      <c r="D7" s="130" t="n"/>
      <c r="E7" s="130" t="n"/>
      <c r="F7" s="130" t="n"/>
      <c r="G7" s="130" t="n"/>
      <c r="H7" s="130" t="n"/>
      <c r="I7" s="130" t="n"/>
      <c r="J7" s="130" t="n"/>
      <c r="K7" s="130" t="n"/>
    </row>
    <row r="8" ht="19.5" customHeight="1" s="102">
      <c r="A8" s="181" t="inlineStr">
        <is>
          <t>2026/07/15</t>
        </is>
      </c>
      <c r="B8" s="182" t="inlineStr">
        <is>
          <t>5月稼働分</t>
        </is>
      </c>
      <c r="C8" s="113" t="n">
        <v>412000</v>
      </c>
      <c r="D8" s="119" t="n">
        <v>42065</v>
      </c>
      <c r="E8" s="113" t="n">
        <v>453200</v>
      </c>
      <c r="F8" s="114" t="n">
        <v>411135</v>
      </c>
      <c r="G8" s="146" t="n">
        <v>92400</v>
      </c>
      <c r="H8" s="163" t="n">
        <v>483560</v>
      </c>
      <c r="I8" s="183" t="n">
        <v>100400</v>
      </c>
      <c r="J8" s="184" t="n">
        <v>116000</v>
      </c>
      <c r="K8" s="179" t="n">
        <v>770695</v>
      </c>
    </row>
    <row r="9" ht="19.5" customHeight="1" s="102">
      <c r="A9" s="181" t="inlineStr">
        <is>
          <t>2026/07/31</t>
        </is>
      </c>
      <c r="B9" s="182" t="inlineStr">
        <is>
          <t>6月稼働分</t>
        </is>
      </c>
      <c r="C9" s="113" t="n">
        <v>120000</v>
      </c>
      <c r="D9" s="119" t="n">
        <v>12252</v>
      </c>
      <c r="E9" s="113" t="n">
        <v>132000</v>
      </c>
      <c r="F9" s="114" t="n">
        <v>119748</v>
      </c>
      <c r="G9" s="146" t="n">
        <v>26400</v>
      </c>
      <c r="H9" s="176" t="inlineStr">
        <is>
          <t>-</t>
        </is>
      </c>
      <c r="I9" s="183" t="n">
        <v>18000</v>
      </c>
      <c r="J9" s="185" t="inlineStr">
        <is>
          <t>-</t>
        </is>
      </c>
      <c r="K9" s="179" t="n">
        <v>128148</v>
      </c>
    </row>
    <row r="10" ht="19.5" customHeight="1" s="102">
      <c r="A10" s="180" t="inlineStr">
        <is>
          <t>7月 小計</t>
        </is>
      </c>
      <c r="B10" s="130" t="n"/>
      <c r="C10" s="131">
        <f>SUM(C8:C9)</f>
        <v/>
      </c>
      <c r="D10" s="131">
        <f>SUM(D8:D9)</f>
        <v/>
      </c>
      <c r="E10" s="131">
        <f>SUM(E8:E9)</f>
        <v/>
      </c>
      <c r="F10" s="131">
        <f>SUM(F8:F9)</f>
        <v/>
      </c>
      <c r="G10" s="131">
        <f>SUM(G8:G9)</f>
        <v/>
      </c>
      <c r="H10" s="131">
        <f>SUM(H8:H9)</f>
        <v/>
      </c>
      <c r="I10" s="131">
        <f>SUM(I8:I9)</f>
        <v/>
      </c>
      <c r="J10" s="131">
        <f>SUM(J8:J9)</f>
        <v/>
      </c>
      <c r="K10" s="131">
        <f>SUM(K8:K9)</f>
        <v/>
      </c>
    </row>
    <row r="11" ht="18" customHeight="1" s="102">
      <c r="A11" s="174" t="inlineStr">
        <is>
          <t>◆ 2026年8月 入金分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30" t="n"/>
    </row>
    <row r="12" ht="19.5" customHeight="1" s="102">
      <c r="A12" s="186" t="inlineStr">
        <is>
          <t>2026/08/15</t>
        </is>
      </c>
      <c r="B12" s="187" t="inlineStr">
        <is>
          <t>6月稼働分</t>
        </is>
      </c>
      <c r="C12" s="113" t="n">
        <v>428000</v>
      </c>
      <c r="D12" s="119">
        <f>C12*0.1021</f>
        <v/>
      </c>
      <c r="E12" s="113">
        <f>C12*1.1</f>
        <v/>
      </c>
      <c r="F12" s="114">
        <f>E12-D12</f>
        <v/>
      </c>
      <c r="G12" s="146" t="n">
        <v>92400</v>
      </c>
      <c r="H12" s="163" t="n">
        <v>509960</v>
      </c>
      <c r="I12" s="188" t="n">
        <v>100400</v>
      </c>
      <c r="J12" s="184" t="n">
        <v>116000</v>
      </c>
      <c r="K12" s="179">
        <f>F12+G12+H12-I12-J12</f>
        <v/>
      </c>
    </row>
    <row r="13" ht="19.5" customHeight="1" s="102">
      <c r="A13" s="186" t="inlineStr">
        <is>
          <t>2026/08/31</t>
        </is>
      </c>
      <c r="B13" s="187" t="inlineStr">
        <is>
          <t>7月稼働分</t>
        </is>
      </c>
      <c r="C13" s="113" t="n">
        <v>120000</v>
      </c>
      <c r="D13" s="119" t="n">
        <v>12252</v>
      </c>
      <c r="E13" s="113" t="n">
        <v>132000</v>
      </c>
      <c r="F13" s="114" t="n">
        <v>119748</v>
      </c>
      <c r="G13" s="146" t="n">
        <v>26400</v>
      </c>
      <c r="H13" s="176" t="inlineStr">
        <is>
          <t>-</t>
        </is>
      </c>
      <c r="I13" s="188" t="n">
        <v>18000</v>
      </c>
      <c r="J13" s="189" t="inlineStr">
        <is>
          <t>-</t>
        </is>
      </c>
      <c r="K13" s="179" t="n">
        <v>128148</v>
      </c>
    </row>
    <row r="14" ht="19.5" customHeight="1" s="102">
      <c r="A14" s="180" t="inlineStr">
        <is>
          <t>8月 小計</t>
        </is>
      </c>
      <c r="B14" s="130" t="n"/>
      <c r="C14" s="131">
        <f>SUM(C12:C13)</f>
        <v/>
      </c>
      <c r="D14" s="131">
        <f>SUM(D12:D13)</f>
        <v/>
      </c>
      <c r="E14" s="131">
        <f>SUM(E12:E13)</f>
        <v/>
      </c>
      <c r="F14" s="131">
        <f>SUM(F12:F13)</f>
        <v/>
      </c>
      <c r="G14" s="131">
        <f>SUM(G12:G13)</f>
        <v/>
      </c>
      <c r="H14" s="131">
        <f>SUM(H12:H13)</f>
        <v/>
      </c>
      <c r="I14" s="131">
        <f>SUM(I12:I13)</f>
        <v/>
      </c>
      <c r="J14" s="131">
        <f>SUM(J12:J13)</f>
        <v/>
      </c>
      <c r="K14" s="131">
        <f>SUM(K12:K13)</f>
        <v/>
      </c>
    </row>
    <row r="15" ht="18" customHeight="1" s="102">
      <c r="A15" s="174" t="inlineStr">
        <is>
          <t>◆ 2026年9月 入金分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30" t="n"/>
    </row>
    <row r="16" ht="19.5" customHeight="1" s="102">
      <c r="A16" s="190" t="inlineStr">
        <is>
          <t>2026/09/15</t>
        </is>
      </c>
      <c r="B16" s="191" t="inlineStr">
        <is>
          <t>7月稼働分</t>
        </is>
      </c>
      <c r="C16" s="113" t="n">
        <v>428000</v>
      </c>
      <c r="D16" s="119">
        <f>C16*0.1021</f>
        <v/>
      </c>
      <c r="E16" s="113">
        <f>C16*1.1</f>
        <v/>
      </c>
      <c r="F16" s="114">
        <f>E16-D16</f>
        <v/>
      </c>
      <c r="G16" s="146" t="n">
        <v>92400</v>
      </c>
      <c r="H16" s="163" t="n">
        <v>509960</v>
      </c>
      <c r="I16" s="192" t="n">
        <v>100400</v>
      </c>
      <c r="J16" s="184" t="n">
        <v>116000</v>
      </c>
      <c r="K16" s="179">
        <f>F16+G16+H16-I16-J16</f>
        <v/>
      </c>
    </row>
    <row r="17" ht="19.5" customHeight="1" s="102">
      <c r="A17" s="190" t="inlineStr">
        <is>
          <t>2026/09/30</t>
        </is>
      </c>
      <c r="B17" s="191" t="inlineStr">
        <is>
          <t>8月稼働分</t>
        </is>
      </c>
      <c r="C17" s="113" t="n">
        <v>120000</v>
      </c>
      <c r="D17" s="119" t="n">
        <v>12252</v>
      </c>
      <c r="E17" s="113" t="n">
        <v>132000</v>
      </c>
      <c r="F17" s="114" t="n">
        <v>119748</v>
      </c>
      <c r="G17" s="146" t="n">
        <v>26400</v>
      </c>
      <c r="H17" s="176" t="inlineStr">
        <is>
          <t>-</t>
        </is>
      </c>
      <c r="I17" s="192" t="n">
        <v>18000</v>
      </c>
      <c r="J17" s="193" t="inlineStr">
        <is>
          <t>-</t>
        </is>
      </c>
      <c r="K17" s="179" t="n">
        <v>128148</v>
      </c>
    </row>
    <row r="18" ht="19.5" customHeight="1" s="102">
      <c r="A18" s="180" t="inlineStr">
        <is>
          <t>9月 小計</t>
        </is>
      </c>
      <c r="B18" s="130" t="n"/>
      <c r="C18" s="131">
        <f>SUM(C16:C17)</f>
        <v/>
      </c>
      <c r="D18" s="131">
        <f>SUM(D16:D17)</f>
        <v/>
      </c>
      <c r="E18" s="131">
        <f>SUM(E16:E17)</f>
        <v/>
      </c>
      <c r="F18" s="131">
        <f>SUM(F16:F17)</f>
        <v/>
      </c>
      <c r="G18" s="131">
        <f>SUM(G16:G17)</f>
        <v/>
      </c>
      <c r="H18" s="131">
        <f>SUM(H16:H17)</f>
        <v/>
      </c>
      <c r="I18" s="131">
        <f>SUM(I16:I17)</f>
        <v/>
      </c>
      <c r="J18" s="131">
        <f>SUM(J16:J17)</f>
        <v/>
      </c>
      <c r="K18" s="131">
        <f>SUM(K16:K17)</f>
        <v/>
      </c>
    </row>
    <row r="19" ht="18" customHeight="1" s="102">
      <c r="A19" s="174" t="inlineStr">
        <is>
          <t>◆ 2026年10月 入金分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30" t="n"/>
    </row>
    <row r="20" ht="19.5" customHeight="1" s="102">
      <c r="A20" s="194" t="inlineStr">
        <is>
          <t>2026/10/15</t>
        </is>
      </c>
      <c r="B20" s="195" t="inlineStr">
        <is>
          <t>8月稼働分</t>
        </is>
      </c>
      <c r="C20" s="113" t="n">
        <v>428000</v>
      </c>
      <c r="D20" s="119">
        <f>C20*0.1021</f>
        <v/>
      </c>
      <c r="E20" s="113">
        <f>C20*1.1</f>
        <v/>
      </c>
      <c r="F20" s="114">
        <f>E20-D20</f>
        <v/>
      </c>
      <c r="G20" s="146" t="n">
        <v>92400</v>
      </c>
      <c r="H20" s="163" t="n">
        <v>509960</v>
      </c>
      <c r="I20" s="196" t="n">
        <v>100400</v>
      </c>
      <c r="J20" s="184" t="n">
        <v>116000</v>
      </c>
      <c r="K20" s="179">
        <f>F20+G20+H20-I20-J20</f>
        <v/>
      </c>
    </row>
    <row r="21" ht="19.5" customHeight="1" s="102">
      <c r="A21" s="194" t="inlineStr">
        <is>
          <t>2026/10/31</t>
        </is>
      </c>
      <c r="B21" s="195" t="inlineStr">
        <is>
          <t>9月稼働分</t>
        </is>
      </c>
      <c r="C21" s="113" t="n">
        <v>120000</v>
      </c>
      <c r="D21" s="119" t="n">
        <v>12252</v>
      </c>
      <c r="E21" s="113" t="n">
        <v>132000</v>
      </c>
      <c r="F21" s="114" t="n">
        <v>119748</v>
      </c>
      <c r="G21" s="146" t="n">
        <v>26400</v>
      </c>
      <c r="H21" s="176" t="inlineStr">
        <is>
          <t>-</t>
        </is>
      </c>
      <c r="I21" s="196" t="n">
        <v>18000</v>
      </c>
      <c r="J21" s="197" t="inlineStr">
        <is>
          <t>-</t>
        </is>
      </c>
      <c r="K21" s="179" t="n">
        <v>128148</v>
      </c>
    </row>
    <row r="22" ht="19.5" customHeight="1" s="102">
      <c r="A22" s="180" t="inlineStr">
        <is>
          <t>10月 小計</t>
        </is>
      </c>
      <c r="B22" s="130" t="n"/>
      <c r="C22" s="131">
        <f>SUM(C20:C21)</f>
        <v/>
      </c>
      <c r="D22" s="131">
        <f>SUM(D20:D21)</f>
        <v/>
      </c>
      <c r="E22" s="131">
        <f>SUM(E20:E21)</f>
        <v/>
      </c>
      <c r="F22" s="131">
        <f>SUM(F20:F21)</f>
        <v/>
      </c>
      <c r="G22" s="131">
        <f>SUM(G20:G21)</f>
        <v/>
      </c>
      <c r="H22" s="131">
        <f>SUM(H20:H21)</f>
        <v/>
      </c>
      <c r="I22" s="131">
        <f>SUM(I20:I21)</f>
        <v/>
      </c>
      <c r="J22" s="131">
        <f>SUM(J20:J21)</f>
        <v/>
      </c>
      <c r="K22" s="131">
        <f>SUM(K20:K21)</f>
        <v/>
      </c>
    </row>
    <row r="23" ht="18" customHeight="1" s="102">
      <c r="A23" s="174" t="inlineStr">
        <is>
          <t>◆ 2026年11月 入金分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</row>
    <row r="24" ht="19.5" customHeight="1" s="102">
      <c r="A24" s="198" t="inlineStr">
        <is>
          <t>2026/11/15</t>
        </is>
      </c>
      <c r="B24" s="199" t="inlineStr">
        <is>
          <t>9月稼働分</t>
        </is>
      </c>
      <c r="C24" s="113" t="n">
        <v>428000</v>
      </c>
      <c r="D24" s="119">
        <f>C24*0.1021</f>
        <v/>
      </c>
      <c r="E24" s="113">
        <f>C24*1.1</f>
        <v/>
      </c>
      <c r="F24" s="114">
        <f>E24-D24</f>
        <v/>
      </c>
      <c r="G24" s="146" t="n">
        <v>92400</v>
      </c>
      <c r="H24" s="163" t="n">
        <v>509960</v>
      </c>
      <c r="I24" s="200" t="n">
        <v>100400</v>
      </c>
      <c r="J24" s="184" t="n">
        <v>116000</v>
      </c>
      <c r="K24" s="179">
        <f>F24+G24+H24-I24-J24</f>
        <v/>
      </c>
    </row>
    <row r="25" ht="19.5" customHeight="1" s="102">
      <c r="A25" s="198" t="inlineStr">
        <is>
          <t>2026/11/30</t>
        </is>
      </c>
      <c r="B25" s="199" t="inlineStr">
        <is>
          <t>9月稼働分</t>
        </is>
      </c>
      <c r="C25" s="113" t="n">
        <v>105000</v>
      </c>
      <c r="D25" s="119" t="n">
        <v>10720</v>
      </c>
      <c r="E25" s="113" t="n">
        <v>115500</v>
      </c>
      <c r="F25" s="114" t="n">
        <v>104780</v>
      </c>
      <c r="G25" s="176" t="inlineStr">
        <is>
          <t>-</t>
        </is>
      </c>
      <c r="H25" s="176" t="inlineStr">
        <is>
          <t>-</t>
        </is>
      </c>
      <c r="I25" s="200" t="n">
        <v>18000</v>
      </c>
      <c r="J25" s="201" t="inlineStr">
        <is>
          <t>-</t>
        </is>
      </c>
      <c r="K25" s="179" t="n">
        <v>86780</v>
      </c>
    </row>
    <row r="26" ht="19.5" customHeight="1" s="102">
      <c r="A26" s="180" t="inlineStr">
        <is>
          <t>11月 小計</t>
        </is>
      </c>
      <c r="B26" s="130" t="n"/>
      <c r="C26" s="131">
        <f>SUM(C24:C25)</f>
        <v/>
      </c>
      <c r="D26" s="131">
        <f>SUM(D24:D25)</f>
        <v/>
      </c>
      <c r="E26" s="131">
        <f>SUM(E24:E25)</f>
        <v/>
      </c>
      <c r="F26" s="131">
        <f>SUM(F24:F25)</f>
        <v/>
      </c>
      <c r="G26" s="131">
        <f>SUM(G24:G25)</f>
        <v/>
      </c>
      <c r="H26" s="131">
        <f>SUM(H24:H25)</f>
        <v/>
      </c>
      <c r="I26" s="131">
        <f>SUM(I24:I25)</f>
        <v/>
      </c>
      <c r="J26" s="131">
        <f>SUM(J24:J25)</f>
        <v/>
      </c>
      <c r="K26" s="131">
        <f>SUM(K24:K25)</f>
        <v/>
      </c>
    </row>
    <row r="28" ht="24" customHeight="1" s="102">
      <c r="A28" s="202" t="inlineStr">
        <is>
          <t>総合計（5〜9月稼働分）</t>
        </is>
      </c>
      <c r="B28" s="130" t="n"/>
      <c r="C28" s="203">
        <f>SUM(C4:C26)</f>
        <v/>
      </c>
      <c r="D28" s="203">
        <f>SUM(D4:D26)</f>
        <v/>
      </c>
      <c r="E28" s="203">
        <f>SUM(E4:E26)</f>
        <v/>
      </c>
      <c r="F28" s="203">
        <f>SUM(F4:F26)</f>
        <v/>
      </c>
      <c r="G28" s="203">
        <f>SUM(G4:G26)</f>
        <v/>
      </c>
      <c r="H28" s="203">
        <f>SUM(H4:H26)</f>
        <v/>
      </c>
      <c r="I28" s="203">
        <f>SUM(I4:I26)</f>
        <v/>
      </c>
      <c r="J28" s="203">
        <f>SUM(J4:J26)</f>
        <v/>
      </c>
      <c r="K28" s="203">
        <f>SUM(K4:K26)</f>
        <v/>
      </c>
    </row>
    <row r="29">
      <c r="A29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2026-05-19T09:14:25Z</dcterms:modified>
  <cp:revision>0</cp:revision>
</cp:coreProperties>
</file>