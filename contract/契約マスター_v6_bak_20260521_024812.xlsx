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RA" sheetId="1" state="visible" r:id="rId1"/>
    <sheet xmlns:r="http://schemas.openxmlformats.org/officeDocument/2006/relationships" name="グレイスライン" sheetId="2" state="visible" r:id="rId2"/>
    <sheet xmlns:r="http://schemas.openxmlformats.org/officeDocument/2006/relationships" name="フラップテック" sheetId="3" state="visible" r:id="rId3"/>
    <sheet xmlns:r="http://schemas.openxmlformats.org/officeDocument/2006/relationships" name="月次サマリー" sheetId="4" state="visible" r:id="rId4"/>
    <sheet xmlns:r="http://schemas.openxmlformats.org/officeDocument/2006/relationships" name="入金予測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Noto Sans CJK SC"/>
      <family val="2"/>
      <b val="1"/>
      <color rgb="FF1F4E79"/>
      <sz val="13"/>
    </font>
    <font>
      <name val="Noto Sans CJK SC"/>
      <charset val="1"/>
      <family val="2"/>
      <color rgb="FF888888"/>
      <sz val="8"/>
    </font>
    <font>
      <name val="Arial"/>
      <charset val="1"/>
      <family val="0"/>
      <color rgb="FF888888"/>
      <sz val="8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Noto Sans CJK SC"/>
      <charset val="1"/>
      <family val="2"/>
      <i val="1"/>
      <color rgb="FF999999"/>
      <sz val="9"/>
    </font>
    <font>
      <name val="Arial"/>
      <charset val="1"/>
      <family val="0"/>
      <color rgb="FFCC0000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b val="1"/>
      <color rgb="FF1F4E79"/>
      <sz val="13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rgb="FF888888"/>
      <sz val="9"/>
    </font>
    <font>
      <name val="Arial"/>
      <charset val="1"/>
      <family val="0"/>
      <color rgb="FF888888"/>
      <sz val="9"/>
    </font>
    <font>
      <name val="Noto Sans CJK SC"/>
      <family val="2"/>
      <color rgb="FF888888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9"/>
    </font>
    <font>
      <name val="Noto Sans CJK SC"/>
      <family val="2"/>
      <b val="1"/>
      <color rgb="FF1F4E79"/>
      <sz val="14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Noto Sans CJK SC"/>
      <family val="2"/>
      <i val="1"/>
      <color rgb="FF888888"/>
      <sz val="8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AAAAAA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sz val="9"/>
    </font>
    <font>
      <name val="Noto Sans CJK SC"/>
      <family val="2"/>
      <b val="1"/>
      <sz val="9"/>
    </font>
    <font>
      <name val="Arial"/>
      <charset val="1"/>
      <family val="0"/>
      <i val="1"/>
      <color rgb="FF8B6914"/>
      <sz val="9"/>
    </font>
    <font>
      <b val="1"/>
    </font>
    <font>
      <color rgb="00FF0000"/>
    </font>
  </fonts>
  <fills count="21">
    <fill>
      <patternFill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F5F0FF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B8CCE4"/>
      </patternFill>
    </fill>
    <fill>
      <patternFill patternType="solid">
        <fgColor rgb="FFFFF9E6"/>
        <bgColor rgb="FFFFF5E6"/>
      </patternFill>
    </fill>
    <fill>
      <patternFill patternType="solid">
        <fgColor rgb="FF7B5B00"/>
        <bgColor rgb="FF8B6914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7B3000"/>
        <bgColor rgb="FF7B5B00"/>
      </patternFill>
    </fill>
    <fill>
      <patternFill patternType="solid">
        <fgColor rgb="FFFCE4D6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F2F2F2"/>
      </patternFill>
    </fill>
    <fill>
      <patternFill patternType="solid">
        <fgColor rgb="FFF0FFF0"/>
        <bgColor rgb="FFF7F7F7"/>
      </patternFill>
    </fill>
    <fill>
      <patternFill patternType="solid">
        <fgColor rgb="FFFFF0F5"/>
        <bgColor rgb="FFFFF5E6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FF9E6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0" fontId="0" fillId="0" borderId="4" pivotButton="0" quotePrefix="0" xfId="0"/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5E6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8CCE4"/>
      <rgbColor rgb="FF888888"/>
      <rgbColor rgb="FFAAAAAA"/>
      <rgbColor rgb="FF7B5B00"/>
      <rgbColor rgb="FFFFF9E6"/>
      <rgbColor rgb="FFE8F5E9"/>
      <rgbColor rgb="FF660066"/>
      <rgbColor rgb="FFFFF0F5"/>
      <rgbColor rgb="FF0066CC"/>
      <rgbColor rgb="FFBDD7EE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DEEAF1"/>
      <rgbColor rgb="FFFDEBD0"/>
      <rgbColor rgb="FFF5F0FF"/>
      <rgbColor rgb="FFFCE4D6"/>
      <rgbColor rgb="FF2E75B6"/>
      <rgbColor rgb="FF33CCCC"/>
      <rgbColor rgb="FFF7F7F7"/>
      <rgbColor rgb="FFF2F2F2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7B30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8" customWidth="1" style="101" min="2" max="2"/>
    <col width="9" customWidth="1" style="101" min="3" max="3"/>
    <col width="12" customWidth="1" style="101" min="4" max="4"/>
    <col width="10" customWidth="1" style="101" min="5" max="5"/>
    <col width="9" customWidth="1" style="101" min="6" max="6"/>
    <col width="20" customWidth="1" style="101" min="7" max="7"/>
    <col width="11" customWidth="1" style="101" min="8" max="8"/>
    <col width="8" customWidth="1" style="101" min="9" max="9"/>
    <col width="15" customWidth="1" style="101" min="10" max="10"/>
    <col width="11" customWidth="1" style="101" min="11" max="11"/>
    <col width="12" customWidth="1" style="101" min="12" max="12"/>
    <col width="13" customWidth="1" style="101" min="13" max="13"/>
    <col width="11" customWidth="1" style="101" min="14" max="14"/>
    <col width="9" customWidth="1" style="101" min="15" max="15"/>
    <col width="10" customWidth="1" style="101" min="16" max="16"/>
    <col width="9" customWidth="1" style="101" min="17" max="18"/>
    <col width="18" customWidth="1" style="101" min="19" max="19"/>
  </cols>
  <sheetData>
    <row r="1" ht="27.75" customHeight="1" s="102">
      <c r="A1" s="204" t="inlineStr">
        <is>
          <t>請求ルール（2026-05-19更新）</t>
        </is>
      </c>
    </row>
    <row r="2" ht="90" customHeight="1" s="102">
      <c r="A2" s="205" t="inlineStr">
        <is>
          <t>■ TERRA請求ルール
・プロパー（GL/FP経由以外）: 15,000円/人（税別）
・プロパー（GL/FP経由稼働）: 請求なし
・BP稼働: 粗利×80%請求
・TERRA折半（旧:松野折半）: 粗利×50%請求
・岡本折半: 粗利×80%請求、岡本へ半分払い出し</t>
        </is>
      </c>
    </row>
    <row r="3" ht="37.5" customHeight="1" s="102">
      <c r="A3" s="104" t="inlineStr">
        <is>
          <t>最終更新:</t>
        </is>
      </c>
      <c r="B3" s="105">
        <f>TODAY()</f>
        <v/>
      </c>
    </row>
    <row r="4" ht="18" customHeight="1" s="102">
      <c r="A4" s="106" t="inlineStr">
        <is>
          <t>担当</t>
        </is>
      </c>
      <c r="B4" s="106" t="inlineStr">
        <is>
          <t>区分
(P/BP)</t>
        </is>
      </c>
      <c r="C4" s="106" t="inlineStr">
        <is>
          <t>ステータス</t>
        </is>
      </c>
      <c r="D4" s="106" t="inlineStr">
        <is>
          <t>氏名</t>
        </is>
      </c>
      <c r="E4" s="106" t="inlineStr">
        <is>
          <t>参画時期</t>
        </is>
      </c>
      <c r="F4" s="106" t="inlineStr">
        <is>
          <t>期間</t>
        </is>
      </c>
      <c r="G4" s="106" t="inlineStr">
        <is>
          <t>案件/上位会社</t>
        </is>
      </c>
      <c r="H4" s="106" t="inlineStr">
        <is>
          <t>単価(案件)</t>
        </is>
      </c>
      <c r="I4" s="106" t="inlineStr">
        <is>
          <t>支払
サイト</t>
        </is>
      </c>
      <c r="J4" s="106" t="inlineStr">
        <is>
          <t>勤怠表フロー</t>
        </is>
      </c>
      <c r="K4" s="106" t="inlineStr">
        <is>
          <t>更新サイクル</t>
        </is>
      </c>
      <c r="L4" s="106" t="inlineStr">
        <is>
          <t>業務内容</t>
        </is>
      </c>
      <c r="M4" s="106" t="inlineStr">
        <is>
          <t>仕入先(所属)</t>
        </is>
      </c>
      <c r="N4" s="106" t="inlineStr">
        <is>
          <t>仕入単価</t>
        </is>
      </c>
      <c r="O4" s="106" t="inlineStr">
        <is>
          <t>粗利</t>
        </is>
      </c>
      <c r="P4" s="107" t="inlineStr">
        <is>
          <t>TERRA
請求額</t>
        </is>
      </c>
      <c r="Q4" s="106" t="inlineStr">
        <is>
          <t>岡本
払出</t>
        </is>
      </c>
      <c r="R4" s="106" t="inlineStr">
        <is>
          <t>実入り</t>
        </is>
      </c>
      <c r="S4" s="106" t="inlineStr">
        <is>
          <t>備考</t>
        </is>
      </c>
    </row>
    <row r="5" ht="18" customHeight="1" s="102">
      <c r="A5" s="108" t="n"/>
      <c r="B5" s="108" t="inlineStr">
        <is>
          <t>P</t>
        </is>
      </c>
      <c r="C5" s="109" t="inlineStr">
        <is>
          <t>稼働中</t>
        </is>
      </c>
      <c r="D5" s="110" t="inlineStr">
        <is>
          <t>仲山雄輝</t>
        </is>
      </c>
      <c r="E5" s="108" t="inlineStr">
        <is>
          <t>2023/12</t>
        </is>
      </c>
      <c r="F5" s="109" t="inlineStr">
        <is>
          <t>長期</t>
        </is>
      </c>
      <c r="G5" s="110" t="inlineStr">
        <is>
          <t>スウェル</t>
        </is>
      </c>
      <c r="H5" s="111" t="n">
        <v>370000</v>
      </c>
      <c r="I5" s="108" t="n">
        <v>45</v>
      </c>
      <c r="J5" s="110" t="inlineStr">
        <is>
          <t>上位からくる</t>
        </is>
      </c>
      <c r="K5" s="108" t="inlineStr">
        <is>
          <t>3か月更新</t>
        </is>
      </c>
      <c r="L5" s="110" t="inlineStr">
        <is>
          <t>ヘルプデスク</t>
        </is>
      </c>
      <c r="M5" s="112" t="inlineStr">
        <is>
          <t>TERRA</t>
        </is>
      </c>
      <c r="N5" s="111" t="n"/>
      <c r="O5" s="113">
        <f>H4</f>
        <v/>
      </c>
      <c r="P5" s="114" t="n">
        <v>15000</v>
      </c>
      <c r="Q5" s="113" t="n"/>
      <c r="R5" s="114">
        <f>P4</f>
        <v/>
      </c>
      <c r="S5" s="112" t="n"/>
    </row>
    <row r="6" ht="18" customHeight="1" s="102">
      <c r="A6" s="108" t="n"/>
      <c r="B6" s="108" t="inlineStr">
        <is>
          <t>P</t>
        </is>
      </c>
      <c r="C6" s="109" t="inlineStr">
        <is>
          <t>稼働中</t>
        </is>
      </c>
      <c r="D6" s="110" t="inlineStr">
        <is>
          <t>吉田創志</t>
        </is>
      </c>
      <c r="E6" s="108" t="inlineStr">
        <is>
          <t>2024/3</t>
        </is>
      </c>
      <c r="F6" s="109" t="inlineStr">
        <is>
          <t>長期</t>
        </is>
      </c>
      <c r="G6" s="112" t="inlineStr">
        <is>
          <t>Technocrats Japan</t>
        </is>
      </c>
      <c r="H6" s="111" t="n">
        <v>430000</v>
      </c>
      <c r="I6" s="108" t="n">
        <v>50</v>
      </c>
      <c r="J6" s="110" t="inlineStr">
        <is>
          <t>吉岡さんから送る</t>
        </is>
      </c>
      <c r="K6" s="108" t="inlineStr">
        <is>
          <t>3か月更新</t>
        </is>
      </c>
      <c r="L6" s="110" t="inlineStr">
        <is>
          <t>インフラ運用監視</t>
        </is>
      </c>
      <c r="M6" s="112" t="inlineStr">
        <is>
          <t>TERRA</t>
        </is>
      </c>
      <c r="N6" s="111" t="n"/>
      <c r="O6" s="113">
        <f>H5</f>
        <v/>
      </c>
      <c r="P6" s="114" t="n">
        <v>15000</v>
      </c>
      <c r="Q6" s="113" t="n"/>
      <c r="R6" s="114">
        <f>P5</f>
        <v/>
      </c>
      <c r="S6" s="112" t="n"/>
    </row>
    <row r="7" ht="18" customHeight="1" s="102">
      <c r="A7" s="108" t="n"/>
      <c r="B7" s="108" t="inlineStr">
        <is>
          <t>P</t>
        </is>
      </c>
      <c r="C7" s="109" t="inlineStr">
        <is>
          <t>稼働中</t>
        </is>
      </c>
      <c r="D7" s="110" t="inlineStr">
        <is>
          <t>蒲池佑萌</t>
        </is>
      </c>
      <c r="E7" s="108" t="inlineStr">
        <is>
          <t>2024/3</t>
        </is>
      </c>
      <c r="F7" s="109" t="inlineStr">
        <is>
          <t>長期</t>
        </is>
      </c>
      <c r="G7" s="110" t="inlineStr">
        <is>
          <t>シートス</t>
        </is>
      </c>
      <c r="H7" s="111" t="n">
        <v>400000</v>
      </c>
      <c r="I7" s="108" t="n">
        <v>45</v>
      </c>
      <c r="J7" s="110" t="inlineStr">
        <is>
          <t>上位からくる</t>
        </is>
      </c>
      <c r="K7" s="108" t="inlineStr">
        <is>
          <t>3か月更新</t>
        </is>
      </c>
      <c r="L7" s="110" t="inlineStr">
        <is>
          <t>ヘルプデスク</t>
        </is>
      </c>
      <c r="M7" s="112" t="inlineStr">
        <is>
          <t>TERRA</t>
        </is>
      </c>
      <c r="N7" s="111" t="n"/>
      <c r="O7" s="113">
        <f>H6</f>
        <v/>
      </c>
      <c r="P7" s="114" t="n">
        <v>15000</v>
      </c>
      <c r="Q7" s="113" t="n"/>
      <c r="R7" s="114">
        <f>P6</f>
        <v/>
      </c>
      <c r="S7" s="112" t="n"/>
    </row>
    <row r="8" ht="18" customHeight="1" s="102">
      <c r="A8" s="108" t="n"/>
      <c r="B8" s="108" t="inlineStr">
        <is>
          <t>P</t>
        </is>
      </c>
      <c r="C8" s="109" t="inlineStr">
        <is>
          <t>稼働中</t>
        </is>
      </c>
      <c r="D8" s="110" t="inlineStr">
        <is>
          <t>大野稔貴</t>
        </is>
      </c>
      <c r="E8" s="108" t="inlineStr">
        <is>
          <t>2024/4</t>
        </is>
      </c>
      <c r="F8" s="109" t="inlineStr">
        <is>
          <t>長期</t>
        </is>
      </c>
      <c r="G8" s="110" t="inlineStr">
        <is>
          <t>ブライトウェイ</t>
        </is>
      </c>
      <c r="H8" s="111" t="n">
        <v>320000</v>
      </c>
      <c r="I8" s="108" t="n">
        <v>55</v>
      </c>
      <c r="J8" s="110" t="inlineStr">
        <is>
          <t>上位からくる</t>
        </is>
      </c>
      <c r="K8" s="108" t="inlineStr">
        <is>
          <t>3か月更新</t>
        </is>
      </c>
      <c r="L8" s="110" t="inlineStr">
        <is>
          <t>調整業務</t>
        </is>
      </c>
      <c r="M8" s="112" t="inlineStr">
        <is>
          <t>TERRA</t>
        </is>
      </c>
      <c r="N8" s="111" t="n"/>
      <c r="O8" s="113">
        <f>H7</f>
        <v/>
      </c>
      <c r="P8" s="114" t="n">
        <v>15000</v>
      </c>
      <c r="Q8" s="113" t="n"/>
      <c r="R8" s="114">
        <f>P7</f>
        <v/>
      </c>
      <c r="S8" s="112" t="n"/>
    </row>
    <row r="9" ht="18" customHeight="1" s="102">
      <c r="A9" s="108" t="n"/>
      <c r="B9" s="108" t="inlineStr">
        <is>
          <t>P</t>
        </is>
      </c>
      <c r="C9" s="109" t="inlineStr">
        <is>
          <t>稼働中</t>
        </is>
      </c>
      <c r="D9" s="110" t="inlineStr">
        <is>
          <t>白須雄太</t>
        </is>
      </c>
      <c r="E9" s="108" t="inlineStr">
        <is>
          <t>2024/5</t>
        </is>
      </c>
      <c r="F9" s="109" t="inlineStr">
        <is>
          <t>長期</t>
        </is>
      </c>
      <c r="G9" s="110" t="inlineStr">
        <is>
          <t>リブートテック</t>
        </is>
      </c>
      <c r="H9" s="111" t="n">
        <v>270000</v>
      </c>
      <c r="I9" s="108" t="n">
        <v>45</v>
      </c>
      <c r="J9" s="110" t="inlineStr">
        <is>
          <t>上位からくる</t>
        </is>
      </c>
      <c r="K9" s="109" t="inlineStr">
        <is>
          <t>長期</t>
        </is>
      </c>
      <c r="L9" s="110" t="inlineStr">
        <is>
          <t>キッティング事務</t>
        </is>
      </c>
      <c r="M9" s="112" t="inlineStr">
        <is>
          <t>TERRA</t>
        </is>
      </c>
      <c r="N9" s="111" t="n"/>
      <c r="O9" s="113">
        <f>H8</f>
        <v/>
      </c>
      <c r="P9" s="114" t="n">
        <v>15000</v>
      </c>
      <c r="Q9" s="113" t="n"/>
      <c r="R9" s="114">
        <f>P8</f>
        <v/>
      </c>
      <c r="S9" s="112" t="n"/>
    </row>
    <row r="10" ht="18" customHeight="1" s="102">
      <c r="A10" s="108" t="n"/>
      <c r="B10" s="108" t="inlineStr">
        <is>
          <t>P</t>
        </is>
      </c>
      <c r="C10" s="109" t="inlineStr">
        <is>
          <t>稼働中</t>
        </is>
      </c>
      <c r="D10" s="110" t="inlineStr">
        <is>
          <t>沼田航陽</t>
        </is>
      </c>
      <c r="E10" s="108" t="inlineStr">
        <is>
          <t>2024/6</t>
        </is>
      </c>
      <c r="F10" s="109" t="inlineStr">
        <is>
          <t>長期</t>
        </is>
      </c>
      <c r="G10" s="110" t="inlineStr">
        <is>
          <t>アイゼンソリューション</t>
        </is>
      </c>
      <c r="H10" s="111" t="n">
        <v>360000</v>
      </c>
      <c r="I10" s="108" t="n">
        <v>55</v>
      </c>
      <c r="J10" s="110" t="inlineStr">
        <is>
          <t>吉岡さんから送る</t>
        </is>
      </c>
      <c r="K10" s="109" t="inlineStr">
        <is>
          <t>長期</t>
        </is>
      </c>
      <c r="L10" s="110" t="inlineStr">
        <is>
          <t>運用監視</t>
        </is>
      </c>
      <c r="M10" s="112" t="inlineStr">
        <is>
          <t>TERRA</t>
        </is>
      </c>
      <c r="N10" s="111" t="n"/>
      <c r="O10" s="113">
        <f>H9</f>
        <v/>
      </c>
      <c r="P10" s="114" t="n">
        <v>15000</v>
      </c>
      <c r="Q10" s="113" t="n"/>
      <c r="R10" s="114">
        <f>P9</f>
        <v/>
      </c>
      <c r="S10" s="112" t="n"/>
    </row>
    <row r="11" ht="18" customHeight="1" s="102">
      <c r="A11" s="108" t="n"/>
      <c r="B11" s="108" t="inlineStr">
        <is>
          <t>P</t>
        </is>
      </c>
      <c r="C11" s="109" t="inlineStr">
        <is>
          <t>稼働中</t>
        </is>
      </c>
      <c r="D11" s="110" t="inlineStr">
        <is>
          <t>魚谷</t>
        </is>
      </c>
      <c r="E11" s="108" t="inlineStr">
        <is>
          <t>2025/4</t>
        </is>
      </c>
      <c r="F11" s="108" t="inlineStr">
        <is>
          <t>4月終了</t>
        </is>
      </c>
      <c r="G11" s="110" t="inlineStr">
        <is>
          <t>スリーケーシー</t>
        </is>
      </c>
      <c r="H11" s="111" t="n">
        <v>400000</v>
      </c>
      <c r="I11" s="108" t="n">
        <v>55</v>
      </c>
      <c r="J11" s="110" t="inlineStr">
        <is>
          <t>平本さんから送る</t>
        </is>
      </c>
      <c r="K11" s="109" t="inlineStr">
        <is>
          <t>長期</t>
        </is>
      </c>
      <c r="L11" s="112" t="n"/>
      <c r="M11" s="112" t="inlineStr">
        <is>
          <t>TERRA</t>
        </is>
      </c>
      <c r="N11" s="111" t="n"/>
      <c r="O11" s="113">
        <f>H10</f>
        <v/>
      </c>
      <c r="P11" s="114" t="n">
        <v>15000</v>
      </c>
      <c r="Q11" s="113" t="n"/>
      <c r="R11" s="114">
        <f>P10</f>
        <v/>
      </c>
      <c r="S11" s="112" t="n"/>
    </row>
    <row r="12" ht="18" customHeight="1" s="102">
      <c r="A12" s="108" t="n"/>
      <c r="B12" s="108" t="inlineStr">
        <is>
          <t>P</t>
        </is>
      </c>
      <c r="C12" s="109" t="inlineStr">
        <is>
          <t>5月末終了</t>
        </is>
      </c>
      <c r="D12" s="110" t="inlineStr">
        <is>
          <t>片山</t>
        </is>
      </c>
      <c r="E12" s="108" t="inlineStr">
        <is>
          <t>2025/4</t>
        </is>
      </c>
      <c r="F12" s="109" t="inlineStr">
        <is>
          <t>5月末終了</t>
        </is>
      </c>
      <c r="G12" s="110" t="inlineStr">
        <is>
          <t>タレントギア</t>
        </is>
      </c>
      <c r="H12" s="111" t="n">
        <v>570000</v>
      </c>
      <c r="I12" s="108" t="n">
        <v>30</v>
      </c>
      <c r="J12" s="110" t="inlineStr">
        <is>
          <t>※松野から送る</t>
        </is>
      </c>
      <c r="K12" s="109" t="inlineStr">
        <is>
          <t>長期</t>
        </is>
      </c>
      <c r="L12" s="112" t="n"/>
      <c r="M12" s="112" t="inlineStr">
        <is>
          <t>TERRA</t>
        </is>
      </c>
      <c r="N12" s="111" t="n"/>
      <c r="O12" s="113">
        <f>H11</f>
        <v/>
      </c>
      <c r="P12" s="114" t="n">
        <v>15000</v>
      </c>
      <c r="Q12" s="113" t="n"/>
      <c r="R12" s="114">
        <f>P11</f>
        <v/>
      </c>
      <c r="S12" s="112" t="n"/>
    </row>
    <row r="13" ht="18" customHeight="1" s="102">
      <c r="A13" s="108" t="n"/>
      <c r="B13" s="108" t="inlineStr">
        <is>
          <t>P</t>
        </is>
      </c>
      <c r="C13" s="109" t="inlineStr">
        <is>
          <t>稼働中</t>
        </is>
      </c>
      <c r="D13" s="110" t="inlineStr">
        <is>
          <t>赤木</t>
        </is>
      </c>
      <c r="E13" s="108" t="inlineStr">
        <is>
          <t>2025/7</t>
        </is>
      </c>
      <c r="F13" s="109" t="inlineStr">
        <is>
          <t>長期</t>
        </is>
      </c>
      <c r="G13" s="112" t="inlineStr">
        <is>
          <t>SPPS</t>
        </is>
      </c>
      <c r="H13" s="111" t="n">
        <v>400000</v>
      </c>
      <c r="I13" s="108" t="n">
        <v>40</v>
      </c>
      <c r="J13" s="110" t="inlineStr">
        <is>
          <t>上位からくる</t>
        </is>
      </c>
      <c r="K13" s="109" t="inlineStr">
        <is>
          <t>長期</t>
        </is>
      </c>
      <c r="L13" s="110" t="inlineStr">
        <is>
          <t>テスト</t>
        </is>
      </c>
      <c r="M13" s="112" t="inlineStr">
        <is>
          <t>TERRA</t>
        </is>
      </c>
      <c r="N13" s="111" t="n"/>
      <c r="O13" s="113">
        <f>H12</f>
        <v/>
      </c>
      <c r="P13" s="114" t="n">
        <v>15000</v>
      </c>
      <c r="Q13" s="113" t="n"/>
      <c r="R13" s="114">
        <f>P12</f>
        <v/>
      </c>
      <c r="S13" s="112" t="n"/>
    </row>
    <row r="14" ht="18" customHeight="1" s="102">
      <c r="A14" s="108" t="n"/>
      <c r="B14" s="108" t="inlineStr">
        <is>
          <t>P</t>
        </is>
      </c>
      <c r="C14" s="109" t="inlineStr">
        <is>
          <t>稼働中</t>
        </is>
      </c>
      <c r="D14" s="110" t="inlineStr">
        <is>
          <t>坪井</t>
        </is>
      </c>
      <c r="E14" s="108" t="inlineStr">
        <is>
          <t>2025/7</t>
        </is>
      </c>
      <c r="F14" s="109" t="inlineStr">
        <is>
          <t>長期</t>
        </is>
      </c>
      <c r="G14" s="110" t="inlineStr">
        <is>
          <t>スウェル</t>
        </is>
      </c>
      <c r="H14" s="111" t="n">
        <v>380000</v>
      </c>
      <c r="I14" s="108" t="n">
        <v>50</v>
      </c>
      <c r="J14" s="110" t="inlineStr">
        <is>
          <t>上位からくる</t>
        </is>
      </c>
      <c r="K14" s="109" t="inlineStr">
        <is>
          <t>長期</t>
        </is>
      </c>
      <c r="L14" s="112" t="n"/>
      <c r="M14" s="112" t="inlineStr">
        <is>
          <t>TERRA</t>
        </is>
      </c>
      <c r="N14" s="111" t="n"/>
      <c r="O14" s="113">
        <f>H13</f>
        <v/>
      </c>
      <c r="P14" s="114" t="n">
        <v>15000</v>
      </c>
      <c r="Q14" s="113" t="n"/>
      <c r="R14" s="114">
        <f>P13</f>
        <v/>
      </c>
      <c r="S14" s="112" t="n"/>
    </row>
    <row r="15" ht="18" customHeight="1" s="102">
      <c r="A15" s="108" t="n"/>
      <c r="B15" s="108" t="inlineStr">
        <is>
          <t>P</t>
        </is>
      </c>
      <c r="C15" s="109" t="inlineStr">
        <is>
          <t>稼働中</t>
        </is>
      </c>
      <c r="D15" s="110" t="inlineStr">
        <is>
          <t>中村</t>
        </is>
      </c>
      <c r="E15" s="108" t="inlineStr">
        <is>
          <t>2025/8</t>
        </is>
      </c>
      <c r="F15" s="109" t="inlineStr">
        <is>
          <t>長期</t>
        </is>
      </c>
      <c r="G15" s="112" t="inlineStr">
        <is>
          <t>SPJ</t>
        </is>
      </c>
      <c r="H15" s="111" t="n">
        <v>450000</v>
      </c>
      <c r="I15" s="108" t="n">
        <v>50</v>
      </c>
      <c r="J15" s="110" t="inlineStr">
        <is>
          <t>※松野から送る</t>
        </is>
      </c>
      <c r="K15" s="109" t="inlineStr">
        <is>
          <t>長期</t>
        </is>
      </c>
      <c r="L15" s="112" t="n"/>
      <c r="M15" s="112" t="inlineStr">
        <is>
          <t>TERRA</t>
        </is>
      </c>
      <c r="N15" s="111" t="n"/>
      <c r="O15" s="113">
        <f>H14</f>
        <v/>
      </c>
      <c r="P15" s="114" t="n">
        <v>15000</v>
      </c>
      <c r="Q15" s="113" t="n"/>
      <c r="R15" s="114">
        <f>P14</f>
        <v/>
      </c>
      <c r="S15" s="112" t="n"/>
    </row>
    <row r="16" ht="18" customHeight="1" s="102">
      <c r="A16" s="108" t="n"/>
      <c r="B16" s="108" t="inlineStr">
        <is>
          <t>P</t>
        </is>
      </c>
      <c r="C16" s="109" t="inlineStr">
        <is>
          <t>稼働中</t>
        </is>
      </c>
      <c r="D16" s="110" t="inlineStr">
        <is>
          <t>日比野</t>
        </is>
      </c>
      <c r="E16" s="108" t="inlineStr">
        <is>
          <t>2025/9</t>
        </is>
      </c>
      <c r="F16" s="109" t="inlineStr">
        <is>
          <t>長期</t>
        </is>
      </c>
      <c r="G16" s="112" t="inlineStr">
        <is>
          <t>SPPS</t>
        </is>
      </c>
      <c r="H16" s="111" t="n">
        <v>400000</v>
      </c>
      <c r="I16" s="108" t="n">
        <v>40</v>
      </c>
      <c r="J16" s="110" t="inlineStr">
        <is>
          <t>上位からくる</t>
        </is>
      </c>
      <c r="K16" s="109" t="inlineStr">
        <is>
          <t>長期</t>
        </is>
      </c>
      <c r="L16" s="112" t="n"/>
      <c r="M16" s="112" t="inlineStr">
        <is>
          <t>TERRA</t>
        </is>
      </c>
      <c r="N16" s="111" t="n"/>
      <c r="O16" s="113">
        <f>H15</f>
        <v/>
      </c>
      <c r="P16" s="114" t="n">
        <v>15000</v>
      </c>
      <c r="Q16" s="113" t="n"/>
      <c r="R16" s="114">
        <f>P15</f>
        <v/>
      </c>
      <c r="S16" s="112" t="n"/>
    </row>
    <row r="17" ht="18" customHeight="1" s="102">
      <c r="A17" s="109" t="inlineStr">
        <is>
          <t>TERRA折半</t>
        </is>
      </c>
      <c r="B17" s="115" t="inlineStr">
        <is>
          <t>BP</t>
        </is>
      </c>
      <c r="C17" s="109" t="inlineStr">
        <is>
          <t>稼働中</t>
        </is>
      </c>
      <c r="D17" s="110" t="inlineStr">
        <is>
          <t>大本</t>
        </is>
      </c>
      <c r="E17" s="108" t="inlineStr">
        <is>
          <t>2025/9</t>
        </is>
      </c>
      <c r="F17" s="108" t="inlineStr">
        <is>
          <t>5月末終了</t>
        </is>
      </c>
      <c r="G17" s="110" t="inlineStr">
        <is>
          <t>（確認中）</t>
        </is>
      </c>
      <c r="H17" s="111" t="n">
        <v>330000</v>
      </c>
      <c r="I17" s="108" t="n">
        <v>35</v>
      </c>
      <c r="J17" s="110" t="inlineStr">
        <is>
          <t>所属からメール</t>
        </is>
      </c>
      <c r="K17" s="109" t="inlineStr">
        <is>
          <t>長期</t>
        </is>
      </c>
      <c r="L17" s="112" t="n"/>
      <c r="M17" s="116" t="n"/>
      <c r="N17" s="117" t="n">
        <v>300000</v>
      </c>
      <c r="O17" s="113">
        <f>H16-N16</f>
        <v/>
      </c>
      <c r="P17" s="114">
        <f>O16*0.8</f>
        <v/>
      </c>
      <c r="Q17" s="113" t="n"/>
      <c r="R17" s="114">
        <f>P16*0.5</f>
        <v/>
      </c>
      <c r="S17" s="112" t="n"/>
    </row>
    <row r="18" ht="18" customHeight="1" s="102">
      <c r="A18" s="109" t="inlineStr">
        <is>
          <t>TERRA折半</t>
        </is>
      </c>
      <c r="B18" s="115" t="inlineStr">
        <is>
          <t>BP</t>
        </is>
      </c>
      <c r="C18" s="109" t="inlineStr">
        <is>
          <t>稼働中</t>
        </is>
      </c>
      <c r="D18" s="110" t="inlineStr">
        <is>
          <t>森</t>
        </is>
      </c>
      <c r="E18" s="108" t="inlineStr">
        <is>
          <t>2025/9</t>
        </is>
      </c>
      <c r="F18" s="109" t="inlineStr">
        <is>
          <t>長期</t>
        </is>
      </c>
      <c r="G18" s="110" t="inlineStr">
        <is>
          <t>（確認中）</t>
        </is>
      </c>
      <c r="H18" s="111" t="n">
        <v>380000</v>
      </c>
      <c r="I18" s="108" t="n">
        <v>40</v>
      </c>
      <c r="J18" s="110" t="inlineStr">
        <is>
          <t>所属からメール</t>
        </is>
      </c>
      <c r="K18" s="109" t="inlineStr">
        <is>
          <t>長期</t>
        </is>
      </c>
      <c r="L18" s="112" t="n"/>
      <c r="M18" s="116" t="n"/>
      <c r="N18" s="117" t="n">
        <v>320000</v>
      </c>
      <c r="O18" s="113">
        <f>H17-N17</f>
        <v/>
      </c>
      <c r="P18" s="114">
        <f>O17*0.8</f>
        <v/>
      </c>
      <c r="Q18" s="113" t="n"/>
      <c r="R18" s="114">
        <f>P17*0.5</f>
        <v/>
      </c>
      <c r="S18" s="112" t="n"/>
    </row>
    <row r="19" ht="18" customHeight="1" s="102">
      <c r="A19" s="108" t="n"/>
      <c r="B19" s="108" t="inlineStr">
        <is>
          <t>P</t>
        </is>
      </c>
      <c r="C19" s="109" t="inlineStr">
        <is>
          <t>稼働中</t>
        </is>
      </c>
      <c r="D19" s="110" t="inlineStr">
        <is>
          <t>永野</t>
        </is>
      </c>
      <c r="E19" s="108" t="inlineStr">
        <is>
          <t>2025/10</t>
        </is>
      </c>
      <c r="F19" s="109" t="inlineStr">
        <is>
          <t>長期</t>
        </is>
      </c>
      <c r="G19" s="110" t="inlineStr">
        <is>
          <t>（確認中）</t>
        </is>
      </c>
      <c r="H19" s="111" t="n">
        <v>680000</v>
      </c>
      <c r="I19" s="108" t="n">
        <v>45</v>
      </c>
      <c r="J19" s="110" t="inlineStr">
        <is>
          <t>上位からくる</t>
        </is>
      </c>
      <c r="K19" s="109" t="inlineStr">
        <is>
          <t>長期</t>
        </is>
      </c>
      <c r="L19" s="112" t="n"/>
      <c r="M19" s="112" t="inlineStr">
        <is>
          <t>TERRA</t>
        </is>
      </c>
      <c r="N19" s="111" t="n"/>
      <c r="O19" s="113">
        <f>H18</f>
        <v/>
      </c>
      <c r="P19" s="114" t="n">
        <v>15000</v>
      </c>
      <c r="Q19" s="113" t="n"/>
      <c r="R19" s="114">
        <f>P18</f>
        <v/>
      </c>
      <c r="S19" s="112" t="n"/>
    </row>
    <row r="20" ht="18" customHeight="1" s="102">
      <c r="A20" s="108" t="n"/>
      <c r="B20" s="108" t="inlineStr">
        <is>
          <t>P</t>
        </is>
      </c>
      <c r="C20" s="109" t="inlineStr">
        <is>
          <t>稼働中</t>
        </is>
      </c>
      <c r="D20" s="110" t="inlineStr">
        <is>
          <t>安江</t>
        </is>
      </c>
      <c r="E20" s="108" t="inlineStr">
        <is>
          <t>2025/10</t>
        </is>
      </c>
      <c r="F20" s="109" t="inlineStr">
        <is>
          <t>長期</t>
        </is>
      </c>
      <c r="G20" s="110" t="inlineStr">
        <is>
          <t>（確認中）</t>
        </is>
      </c>
      <c r="H20" s="111" t="n">
        <v>480000</v>
      </c>
      <c r="I20" s="108" t="n">
        <v>45</v>
      </c>
      <c r="J20" s="110" t="inlineStr">
        <is>
          <t>上位からくる</t>
        </is>
      </c>
      <c r="K20" s="109" t="inlineStr">
        <is>
          <t>長期</t>
        </is>
      </c>
      <c r="L20" s="112" t="n"/>
      <c r="M20" s="112" t="inlineStr">
        <is>
          <t>TERRA</t>
        </is>
      </c>
      <c r="N20" s="111" t="n"/>
      <c r="O20" s="113">
        <f>H19</f>
        <v/>
      </c>
      <c r="P20" s="114" t="n">
        <v>15000</v>
      </c>
      <c r="Q20" s="113" t="n"/>
      <c r="R20" s="114">
        <f>P19</f>
        <v/>
      </c>
      <c r="S20" s="112" t="n"/>
    </row>
    <row r="21" ht="18" customHeight="1" s="102">
      <c r="A21" s="108" t="n"/>
      <c r="B21" s="108" t="inlineStr">
        <is>
          <t>P</t>
        </is>
      </c>
      <c r="C21" s="109" t="inlineStr">
        <is>
          <t>稼働中</t>
        </is>
      </c>
      <c r="D21" s="110" t="inlineStr">
        <is>
          <t>相川</t>
        </is>
      </c>
      <c r="E21" s="108" t="inlineStr">
        <is>
          <t>2025/10</t>
        </is>
      </c>
      <c r="F21" s="109" t="inlineStr">
        <is>
          <t>長期</t>
        </is>
      </c>
      <c r="G21" s="112" t="inlineStr">
        <is>
          <t>SPPS</t>
        </is>
      </c>
      <c r="H21" s="111" t="n">
        <v>400000</v>
      </c>
      <c r="I21" s="108" t="n">
        <v>40</v>
      </c>
      <c r="J21" s="110" t="inlineStr">
        <is>
          <t>上位からくる</t>
        </is>
      </c>
      <c r="K21" s="109" t="inlineStr">
        <is>
          <t>長期</t>
        </is>
      </c>
      <c r="L21" s="112" t="n"/>
      <c r="M21" s="112" t="inlineStr">
        <is>
          <t>TERRA</t>
        </is>
      </c>
      <c r="N21" s="111" t="n"/>
      <c r="O21" s="113">
        <f>H20</f>
        <v/>
      </c>
      <c r="P21" s="114" t="n">
        <v>15000</v>
      </c>
      <c r="Q21" s="113" t="n"/>
      <c r="R21" s="114">
        <f>P20</f>
        <v/>
      </c>
      <c r="S21" s="112" t="n"/>
    </row>
    <row r="22" ht="18" customHeight="1" s="102">
      <c r="A22" s="109" t="inlineStr">
        <is>
          <t>TERRA折半</t>
        </is>
      </c>
      <c r="B22" s="115" t="inlineStr">
        <is>
          <t>BP</t>
        </is>
      </c>
      <c r="C22" s="109" t="inlineStr">
        <is>
          <t>稼働中</t>
        </is>
      </c>
      <c r="D22" s="110" t="inlineStr">
        <is>
          <t>芹澤</t>
        </is>
      </c>
      <c r="E22" s="108" t="inlineStr">
        <is>
          <t>2025/12</t>
        </is>
      </c>
      <c r="F22" s="109" t="inlineStr">
        <is>
          <t>長期</t>
        </is>
      </c>
      <c r="G22" s="110" t="inlineStr">
        <is>
          <t>（確認中）</t>
        </is>
      </c>
      <c r="H22" s="111" t="n">
        <v>590000</v>
      </c>
      <c r="I22" s="108" t="n">
        <v>40</v>
      </c>
      <c r="J22" s="110" t="inlineStr">
        <is>
          <t>平本さんから送る</t>
        </is>
      </c>
      <c r="K22" s="109" t="inlineStr">
        <is>
          <t>長期</t>
        </is>
      </c>
      <c r="L22" s="112" t="n"/>
      <c r="M22" s="116" t="n"/>
      <c r="N22" s="117" t="n">
        <v>500000</v>
      </c>
      <c r="O22" s="113">
        <f>H21-N21</f>
        <v/>
      </c>
      <c r="P22" s="114">
        <f>O21*0.8</f>
        <v/>
      </c>
      <c r="Q22" s="113" t="n"/>
      <c r="R22" s="114">
        <f>P21*0.5</f>
        <v/>
      </c>
      <c r="S22" s="112" t="n"/>
    </row>
    <row r="23" ht="18" customHeight="1" s="102">
      <c r="A23" s="108" t="n"/>
      <c r="B23" s="108" t="inlineStr">
        <is>
          <t>P</t>
        </is>
      </c>
      <c r="C23" s="109" t="inlineStr">
        <is>
          <t>稼働中</t>
        </is>
      </c>
      <c r="D23" s="110" t="inlineStr">
        <is>
          <t>富永</t>
        </is>
      </c>
      <c r="E23" s="108" t="inlineStr">
        <is>
          <t>2026/1</t>
        </is>
      </c>
      <c r="F23" s="109" t="inlineStr">
        <is>
          <t>長期</t>
        </is>
      </c>
      <c r="G23" s="112" t="inlineStr">
        <is>
          <t>SPPS</t>
        </is>
      </c>
      <c r="H23" s="111" t="n">
        <v>360000</v>
      </c>
      <c r="I23" s="108" t="n">
        <v>40</v>
      </c>
      <c r="J23" s="110" t="inlineStr">
        <is>
          <t>上位からくる</t>
        </is>
      </c>
      <c r="K23" s="109" t="inlineStr">
        <is>
          <t>長期</t>
        </is>
      </c>
      <c r="L23" s="112" t="n"/>
      <c r="M23" s="112" t="inlineStr">
        <is>
          <t>TERRA</t>
        </is>
      </c>
      <c r="N23" s="111" t="n"/>
      <c r="O23" s="113">
        <f>H22</f>
        <v/>
      </c>
      <c r="P23" s="114" t="n">
        <v>15000</v>
      </c>
      <c r="Q23" s="113" t="n"/>
      <c r="R23" s="114">
        <f>P22</f>
        <v/>
      </c>
      <c r="S23" s="112" t="n"/>
    </row>
    <row r="24" ht="18" customHeight="1" s="102">
      <c r="A24" s="109" t="inlineStr">
        <is>
          <t>岡本</t>
        </is>
      </c>
      <c r="B24" s="108" t="inlineStr">
        <is>
          <t>P</t>
        </is>
      </c>
      <c r="C24" s="109" t="inlineStr">
        <is>
          <t>稼働中</t>
        </is>
      </c>
      <c r="D24" s="110" t="inlineStr">
        <is>
          <t>天野</t>
        </is>
      </c>
      <c r="E24" s="108" t="inlineStr">
        <is>
          <t>2026/1</t>
        </is>
      </c>
      <c r="F24" s="109" t="inlineStr">
        <is>
          <t>長期</t>
        </is>
      </c>
      <c r="G24" s="112" t="inlineStr">
        <is>
          <t>comvace</t>
        </is>
      </c>
      <c r="H24" s="111" t="n">
        <v>490000</v>
      </c>
      <c r="I24" s="108" t="n">
        <v>50</v>
      </c>
      <c r="J24" s="110" t="inlineStr">
        <is>
          <t>吉岡さんから送る</t>
        </is>
      </c>
      <c r="K24" s="109" t="inlineStr">
        <is>
          <t>長期</t>
        </is>
      </c>
      <c r="L24" s="112" t="n"/>
      <c r="M24" s="112" t="n"/>
      <c r="N24" s="111" t="n"/>
      <c r="O24" s="113">
        <f>H23</f>
        <v/>
      </c>
      <c r="P24" s="114" t="n">
        <v>15000</v>
      </c>
      <c r="Q24" s="113" t="n">
        <v>9000</v>
      </c>
      <c r="R24" s="114">
        <f>P23-Q23</f>
        <v/>
      </c>
      <c r="S24" s="112" t="n"/>
    </row>
    <row r="25" ht="18" customHeight="1" s="102">
      <c r="A25" s="109" t="inlineStr">
        <is>
          <t>岡本</t>
        </is>
      </c>
      <c r="B25" s="108" t="inlineStr">
        <is>
          <t>P</t>
        </is>
      </c>
      <c r="C25" s="109" t="inlineStr">
        <is>
          <t>稼働中</t>
        </is>
      </c>
      <c r="D25" s="110" t="inlineStr">
        <is>
          <t>岩瀬</t>
        </is>
      </c>
      <c r="E25" s="108" t="inlineStr">
        <is>
          <t>2026/3</t>
        </is>
      </c>
      <c r="F25" s="109" t="inlineStr">
        <is>
          <t>長期</t>
        </is>
      </c>
      <c r="G25" s="110" t="inlineStr">
        <is>
          <t>（確認中）</t>
        </is>
      </c>
      <c r="H25" s="111" t="n">
        <v>500000</v>
      </c>
      <c r="I25" s="108" t="n">
        <v>50</v>
      </c>
      <c r="J25" s="112" t="n"/>
      <c r="K25" s="109" t="inlineStr">
        <is>
          <t>長期</t>
        </is>
      </c>
      <c r="L25" s="112" t="n"/>
      <c r="M25" s="112" t="n"/>
      <c r="N25" s="111" t="n"/>
      <c r="O25" s="113">
        <f>H24</f>
        <v/>
      </c>
      <c r="P25" s="114" t="n">
        <v>15000</v>
      </c>
      <c r="Q25" s="113" t="n">
        <v>9000</v>
      </c>
      <c r="R25" s="114">
        <f>P24-Q24</f>
        <v/>
      </c>
      <c r="S25" s="112" t="n"/>
    </row>
    <row r="26" ht="18" customHeight="1" s="102">
      <c r="A26" s="109" t="inlineStr">
        <is>
          <t>岡本</t>
        </is>
      </c>
      <c r="B26" s="108" t="inlineStr">
        <is>
          <t>P</t>
        </is>
      </c>
      <c r="C26" s="109" t="inlineStr">
        <is>
          <t>稼働中</t>
        </is>
      </c>
      <c r="D26" s="110" t="inlineStr">
        <is>
          <t>加藤(T)</t>
        </is>
      </c>
      <c r="E26" s="108" t="inlineStr">
        <is>
          <t>2026/3</t>
        </is>
      </c>
      <c r="F26" s="109" t="inlineStr">
        <is>
          <t>長期</t>
        </is>
      </c>
      <c r="G26" s="110" t="inlineStr">
        <is>
          <t>（確認中）</t>
        </is>
      </c>
      <c r="H26" s="111" t="n">
        <v>380000</v>
      </c>
      <c r="I26" s="108" t="n">
        <v>45</v>
      </c>
      <c r="J26" s="112" t="n"/>
      <c r="K26" s="109" t="inlineStr">
        <is>
          <t>長期</t>
        </is>
      </c>
      <c r="L26" s="112" t="n"/>
      <c r="M26" s="112" t="n"/>
      <c r="N26" s="111" t="n"/>
      <c r="O26" s="113">
        <f>H25</f>
        <v/>
      </c>
      <c r="P26" s="114" t="n">
        <v>15000</v>
      </c>
      <c r="Q26" s="113" t="n">
        <v>9000</v>
      </c>
      <c r="R26" s="114">
        <f>P25-Q25</f>
        <v/>
      </c>
      <c r="S26" s="112" t="n"/>
    </row>
    <row r="27" ht="18" customHeight="1" s="102">
      <c r="A27" s="108" t="n"/>
      <c r="B27" s="115" t="inlineStr">
        <is>
          <t>P</t>
        </is>
      </c>
      <c r="C27" s="109" t="inlineStr">
        <is>
          <t>稼働中</t>
        </is>
      </c>
      <c r="D27" s="110" t="inlineStr">
        <is>
          <t>山内清</t>
        </is>
      </c>
      <c r="E27" s="108" t="inlineStr">
        <is>
          <t>2024/10</t>
        </is>
      </c>
      <c r="F27" s="109" t="inlineStr">
        <is>
          <t>長期</t>
        </is>
      </c>
      <c r="G27" s="110" t="inlineStr">
        <is>
          <t>スウェル（GL経由）</t>
        </is>
      </c>
      <c r="H27" s="111" t="n">
        <v>370000</v>
      </c>
      <c r="I27" s="108" t="n">
        <v>45</v>
      </c>
      <c r="J27" s="110" t="inlineStr">
        <is>
          <t>上位からくる</t>
        </is>
      </c>
      <c r="K27" s="108" t="inlineStr">
        <is>
          <t>3か月更新</t>
        </is>
      </c>
      <c r="L27" s="110" t="inlineStr">
        <is>
          <t>保守</t>
        </is>
      </c>
      <c r="M27" s="116" t="inlineStr">
        <is>
          <t>TERRA</t>
        </is>
      </c>
      <c r="N27" s="117" t="n"/>
      <c r="O27" s="113">
        <f>H26</f>
        <v/>
      </c>
      <c r="P27" s="118" t="inlineStr">
        <is>
          <t>請求なし</t>
        </is>
      </c>
      <c r="Q27" s="118" t="n"/>
      <c r="R27" s="118" t="n"/>
      <c r="S27" s="112" t="inlineStr">
        <is>
          <t>GL契約シートも参照</t>
        </is>
      </c>
    </row>
    <row r="28" ht="18" customHeight="1" s="102">
      <c r="A28" s="108" t="n"/>
      <c r="B28" s="115" t="inlineStr">
        <is>
          <t>P</t>
        </is>
      </c>
      <c r="C28" s="109" t="inlineStr">
        <is>
          <t>稼働中</t>
        </is>
      </c>
      <c r="D28" s="110" t="inlineStr">
        <is>
          <t>田中みさ</t>
        </is>
      </c>
      <c r="E28" s="108" t="inlineStr">
        <is>
          <t>2025/1</t>
        </is>
      </c>
      <c r="F28" s="109" t="inlineStr">
        <is>
          <t>長期</t>
        </is>
      </c>
      <c r="G28" s="110" t="inlineStr">
        <is>
          <t>相馬さん（GL/FT経由）</t>
        </is>
      </c>
      <c r="H28" s="111" t="n">
        <v>400000</v>
      </c>
      <c r="I28" s="108" t="n">
        <v>55</v>
      </c>
      <c r="J28" s="110" t="inlineStr">
        <is>
          <t>上位からくる</t>
        </is>
      </c>
      <c r="K28" s="108" t="inlineStr">
        <is>
          <t>3か月更新</t>
        </is>
      </c>
      <c r="L28" s="110" t="inlineStr">
        <is>
          <t>システム保守</t>
        </is>
      </c>
      <c r="M28" s="116" t="inlineStr">
        <is>
          <t>TERRA</t>
        </is>
      </c>
      <c r="N28" s="117" t="n"/>
      <c r="O28" s="113">
        <f>H27</f>
        <v/>
      </c>
      <c r="P28" s="118" t="inlineStr">
        <is>
          <t>請求なし</t>
        </is>
      </c>
      <c r="Q28" s="118" t="n"/>
      <c r="R28" s="118" t="n"/>
      <c r="S28" s="110" t="inlineStr">
        <is>
          <t>岡本折半</t>
        </is>
      </c>
    </row>
    <row r="29" ht="18" customHeight="1" s="102">
      <c r="A29" s="109" t="inlineStr">
        <is>
          <t>岡本折半</t>
        </is>
      </c>
      <c r="B29" s="115" t="inlineStr">
        <is>
          <t>BP</t>
        </is>
      </c>
      <c r="C29" s="109" t="inlineStr">
        <is>
          <t>稼働中</t>
        </is>
      </c>
      <c r="D29" s="110" t="inlineStr">
        <is>
          <t>佐々木</t>
        </is>
      </c>
      <c r="E29" s="108" t="inlineStr">
        <is>
          <t>2026/4</t>
        </is>
      </c>
      <c r="F29" s="109" t="inlineStr">
        <is>
          <t>長期</t>
        </is>
      </c>
      <c r="G29" s="110" t="inlineStr">
        <is>
          <t>スウェル</t>
        </is>
      </c>
      <c r="H29" s="111" t="n">
        <v>610000</v>
      </c>
      <c r="I29" s="108" t="n">
        <v>45</v>
      </c>
      <c r="J29" s="110" t="inlineStr">
        <is>
          <t>上位からくる</t>
        </is>
      </c>
      <c r="K29" s="109" t="inlineStr">
        <is>
          <t>単月更新</t>
        </is>
      </c>
      <c r="L29" s="112" t="inlineStr">
        <is>
          <t>Java開発</t>
        </is>
      </c>
      <c r="M29" s="116" t="n"/>
      <c r="N29" s="117" t="n">
        <v>560000</v>
      </c>
      <c r="O29" s="113">
        <f>H28-N28</f>
        <v/>
      </c>
      <c r="P29" s="114">
        <f>O28*0.8</f>
        <v/>
      </c>
      <c r="Q29" s="119">
        <f>P28*0.5</f>
        <v/>
      </c>
      <c r="R29" s="114">
        <f>P28-Q28</f>
        <v/>
      </c>
      <c r="S29" s="110" t="inlineStr">
        <is>
          <t>岡本折半</t>
        </is>
      </c>
    </row>
    <row r="30" ht="18" customHeight="1" s="102">
      <c r="A30" s="108" t="n"/>
      <c r="B30" s="115" t="inlineStr">
        <is>
          <t>P</t>
        </is>
      </c>
      <c r="C30" s="109" t="inlineStr">
        <is>
          <t>稼働中</t>
        </is>
      </c>
      <c r="D30" s="110" t="inlineStr">
        <is>
          <t>木村勇太</t>
        </is>
      </c>
      <c r="E30" s="108" t="inlineStr">
        <is>
          <t>2025/10</t>
        </is>
      </c>
      <c r="F30" s="109" t="inlineStr">
        <is>
          <t>長期</t>
        </is>
      </c>
      <c r="G30" s="110" t="inlineStr">
        <is>
          <t>グレイスライン経由</t>
        </is>
      </c>
      <c r="H30" s="111" t="n">
        <v>600000</v>
      </c>
      <c r="I30" s="108" t="n">
        <v>45</v>
      </c>
      <c r="J30" s="110" t="inlineStr">
        <is>
          <t>上位からくる</t>
        </is>
      </c>
      <c r="K30" s="109" t="inlineStr">
        <is>
          <t>単月更新</t>
        </is>
      </c>
      <c r="L30" s="112" t="inlineStr">
        <is>
          <t>Java開発</t>
        </is>
      </c>
      <c r="M30" s="116" t="inlineStr">
        <is>
          <t>TERRA</t>
        </is>
      </c>
      <c r="N30" s="117" t="n"/>
      <c r="O30" s="113">
        <f>H29</f>
        <v/>
      </c>
      <c r="P30" s="118" t="inlineStr">
        <is>
          <t>請求なし</t>
        </is>
      </c>
      <c r="Q30" s="118" t="n"/>
      <c r="R30" s="118" t="n"/>
      <c r="S30" s="112" t="n"/>
    </row>
    <row r="31" ht="18" customHeight="1" s="102">
      <c r="A31" s="120" t="n"/>
      <c r="B31" s="120" t="inlineStr">
        <is>
          <t>P</t>
        </is>
      </c>
      <c r="C31" s="121" t="inlineStr">
        <is>
          <t>5月末終了</t>
        </is>
      </c>
      <c r="D31" s="122" t="inlineStr">
        <is>
          <t>原</t>
        </is>
      </c>
      <c r="E31" s="120" t="inlineStr">
        <is>
          <t>2026/3</t>
        </is>
      </c>
      <c r="F31" s="121" t="inlineStr">
        <is>
          <t>5月末終了</t>
        </is>
      </c>
      <c r="G31" s="122" t="inlineStr">
        <is>
          <t>（調整中）</t>
        </is>
      </c>
      <c r="H31" s="123" t="n"/>
      <c r="I31" s="120" t="n"/>
      <c r="J31" s="122" t="n"/>
      <c r="K31" s="120" t="n"/>
      <c r="L31" s="122" t="n"/>
      <c r="M31" s="124" t="inlineStr">
        <is>
          <t>TERRA</t>
        </is>
      </c>
      <c r="N31" s="123" t="n"/>
      <c r="O31" s="125" t="n"/>
      <c r="P31" s="118" t="inlineStr">
        <is>
          <t>請求なし</t>
        </is>
      </c>
      <c r="Q31" s="118" t="n"/>
      <c r="R31" s="118" t="n"/>
      <c r="S31" s="124" t="n"/>
    </row>
    <row r="32" ht="18" customHeight="1" s="102">
      <c r="A32" s="120" t="n"/>
      <c r="B32" s="120" t="inlineStr">
        <is>
          <t>P</t>
        </is>
      </c>
      <c r="C32" s="121" t="inlineStr">
        <is>
          <t>稼働中</t>
        </is>
      </c>
      <c r="D32" s="122" t="inlineStr">
        <is>
          <t>川崎(新)</t>
        </is>
      </c>
      <c r="E32" s="120" t="inlineStr">
        <is>
          <t>2026/4</t>
        </is>
      </c>
      <c r="F32" s="121" t="inlineStr">
        <is>
          <t>長期</t>
        </is>
      </c>
      <c r="G32" s="122" t="inlineStr">
        <is>
          <t>（調整中）</t>
        </is>
      </c>
      <c r="H32" s="123" t="n"/>
      <c r="I32" s="120" t="n"/>
      <c r="J32" s="124" t="n"/>
      <c r="K32" s="120" t="n"/>
      <c r="L32" s="124" t="n"/>
      <c r="M32" s="124" t="inlineStr">
        <is>
          <t>TERRA</t>
        </is>
      </c>
      <c r="N32" s="123" t="n"/>
      <c r="O32" s="125" t="n"/>
      <c r="P32" s="118" t="inlineStr">
        <is>
          <t>請求なし</t>
        </is>
      </c>
      <c r="Q32" s="118" t="n"/>
      <c r="R32" s="118" t="n"/>
      <c r="S32" s="124" t="n"/>
    </row>
    <row r="33" ht="18" customHeight="1" s="102">
      <c r="A33" s="120" t="n"/>
      <c r="B33" s="120" t="inlineStr">
        <is>
          <t>P</t>
        </is>
      </c>
      <c r="C33" s="121" t="inlineStr">
        <is>
          <t>稼働中</t>
        </is>
      </c>
      <c r="D33" s="122" t="inlineStr">
        <is>
          <t>橋詰(新)</t>
        </is>
      </c>
      <c r="E33" s="120" t="inlineStr">
        <is>
          <t>2026/4</t>
        </is>
      </c>
      <c r="F33" s="121" t="inlineStr">
        <is>
          <t>長期</t>
        </is>
      </c>
      <c r="G33" s="122" t="inlineStr">
        <is>
          <t>（調整中）</t>
        </is>
      </c>
      <c r="H33" s="123" t="n">
        <v>450000</v>
      </c>
      <c r="I33" s="120" t="n">
        <v>45</v>
      </c>
      <c r="J33" s="124" t="n"/>
      <c r="K33" s="120" t="n"/>
      <c r="L33" s="124" t="n"/>
      <c r="M33" s="124" t="n"/>
      <c r="N33" s="123" t="n"/>
      <c r="O33" s="125">
        <f>H32</f>
        <v/>
      </c>
      <c r="P33" s="125" t="n"/>
      <c r="Q33" s="125" t="n"/>
      <c r="R33" s="125" t="n"/>
      <c r="S33" s="124" t="n"/>
    </row>
    <row r="34" ht="18" customHeight="1" s="102">
      <c r="A34" s="120" t="n"/>
      <c r="B34" s="120" t="inlineStr">
        <is>
          <t>P</t>
        </is>
      </c>
      <c r="C34" s="121" t="inlineStr">
        <is>
          <t>稼働中</t>
        </is>
      </c>
      <c r="D34" s="122" t="inlineStr">
        <is>
          <t>佐々木(入)</t>
        </is>
      </c>
      <c r="E34" s="120" t="inlineStr">
        <is>
          <t>2026/4</t>
        </is>
      </c>
      <c r="F34" s="121" t="inlineStr">
        <is>
          <t>長期</t>
        </is>
      </c>
      <c r="G34" s="122" t="inlineStr">
        <is>
          <t>スウェル</t>
        </is>
      </c>
      <c r="H34" s="123" t="n">
        <v>610000</v>
      </c>
      <c r="I34" s="120" t="n">
        <v>45</v>
      </c>
      <c r="J34" s="122" t="inlineStr">
        <is>
          <t>上位からくる</t>
        </is>
      </c>
      <c r="K34" s="121" t="inlineStr">
        <is>
          <t>単月更新</t>
        </is>
      </c>
      <c r="L34" s="124" t="inlineStr">
        <is>
          <t>Java開発</t>
        </is>
      </c>
      <c r="M34" s="124" t="inlineStr">
        <is>
          <t>TERRA</t>
        </is>
      </c>
      <c r="N34" s="123" t="n"/>
      <c r="O34" s="125">
        <f>H33</f>
        <v/>
      </c>
      <c r="P34" s="125" t="n"/>
      <c r="Q34" s="125" t="n"/>
      <c r="R34" s="125" t="n"/>
      <c r="S34" s="124" t="n"/>
    </row>
    <row r="35" ht="21.75" customHeight="1" s="102">
      <c r="A35" s="121" t="inlineStr">
        <is>
          <t>TERRA折半</t>
        </is>
      </c>
      <c r="B35" s="126" t="inlineStr">
        <is>
          <t>BP</t>
        </is>
      </c>
      <c r="C35" s="121" t="inlineStr">
        <is>
          <t>稼働中</t>
        </is>
      </c>
      <c r="D35" s="122" t="inlineStr">
        <is>
          <t>小山内</t>
        </is>
      </c>
      <c r="E35" s="120" t="inlineStr">
        <is>
          <t>2026/4</t>
        </is>
      </c>
      <c r="F35" s="121" t="inlineStr">
        <is>
          <t>長期</t>
        </is>
      </c>
      <c r="G35" s="122" t="inlineStr">
        <is>
          <t>（調整中）</t>
        </is>
      </c>
      <c r="H35" s="123" t="n">
        <v>600000</v>
      </c>
      <c r="I35" s="120" t="n">
        <v>45</v>
      </c>
      <c r="J35" s="124" t="n"/>
      <c r="K35" s="121" t="inlineStr">
        <is>
          <t>単月更新</t>
        </is>
      </c>
      <c r="L35" s="124" t="n"/>
      <c r="M35" s="127" t="n"/>
      <c r="N35" s="128" t="n">
        <v>540000</v>
      </c>
      <c r="O35" s="125">
        <f>H34-N34</f>
        <v/>
      </c>
      <c r="P35" s="125">
        <f>O34*0.8</f>
        <v/>
      </c>
      <c r="Q35" s="125" t="n"/>
      <c r="R35" s="125">
        <f>P34*0.5</f>
        <v/>
      </c>
      <c r="S35" s="124" t="n"/>
    </row>
    <row r="36">
      <c r="A36" s="101" t="inlineStr">
        <is>
          <t>小坂折半</t>
        </is>
      </c>
      <c r="B36" s="101" t="inlineStr">
        <is>
          <t>BP</t>
        </is>
      </c>
      <c r="C36" s="101" t="inlineStr">
        <is>
          <t>入場前</t>
        </is>
      </c>
      <c r="D36" s="101" t="inlineStr">
        <is>
          <t>吉田祥平</t>
        </is>
      </c>
      <c r="E36" s="101" t="inlineStr">
        <is>
          <t>2026/6</t>
        </is>
      </c>
      <c r="F36" s="101" t="inlineStr">
        <is>
          <t>長期</t>
        </is>
      </c>
      <c r="G36" s="101" t="inlineStr">
        <is>
          <t>省庁ネットワーク/ICT運用</t>
        </is>
      </c>
      <c r="H36" s="101" t="n">
        <v>700000</v>
      </c>
      <c r="I36" s="101" t="n">
        <v>45</v>
      </c>
      <c r="J36" s="101" t="inlineStr">
        <is>
          <t>所属からメール</t>
        </is>
      </c>
      <c r="K36" s="101" t="inlineStr">
        <is>
          <t>単月更新</t>
        </is>
      </c>
      <c r="L36" s="101" t="inlineStr">
        <is>
          <t>省庁NW/ICT運用</t>
        </is>
      </c>
      <c r="N36" s="101" t="n">
        <v>650000</v>
      </c>
      <c r="O36" s="101" t="n">
        <v>50000</v>
      </c>
      <c r="P36" s="101" t="n">
        <v>40000</v>
      </c>
      <c r="R36" s="101" t="n">
        <v>40000</v>
      </c>
      <c r="S36" s="101" t="inlineStr">
        <is>
          <t>FP→TERRA→所属。FP単価75万、FP-TR70万、TR-所属65万。TERRA粗利5万×80%=4万。FP粗利5万×48%(小坂折半)=2.4万。精算140-180h中間割。松野担当。</t>
        </is>
      </c>
    </row>
    <row r="37">
      <c r="A37" s="129" t="inlineStr">
        <is>
          <t>稼働中合計</t>
        </is>
      </c>
      <c r="B37" s="130" t="n"/>
      <c r="C37" s="130" t="n"/>
      <c r="D37" s="130" t="n"/>
      <c r="E37" s="130" t="n"/>
      <c r="F37" s="130" t="n"/>
      <c r="G37" s="130" t="n"/>
      <c r="H37" s="131">
        <f>SUMIF(C4:C34,"稼働中",H4:H34)</f>
        <v/>
      </c>
      <c r="I37" s="132" t="n"/>
      <c r="J37" s="132" t="n"/>
      <c r="K37" s="132" t="n"/>
      <c r="L37" s="132" t="n"/>
      <c r="M37" s="132" t="n"/>
      <c r="N37" s="132" t="n"/>
      <c r="O37" s="131">
        <f>SUMIF(C4:C34,"稼働中",O4:O34)</f>
        <v/>
      </c>
      <c r="P37" s="131">
        <f>SUMIF(C4:C34,"稼働中",P4:P34)</f>
        <v/>
      </c>
      <c r="Q37" s="131">
        <f>SUMIF(C4:C34,"稼働中",Q4:Q34)</f>
        <v/>
      </c>
      <c r="R37" s="131">
        <f>SUMIF(C4:C34,"稼働中",R4:R34)</f>
        <v/>
      </c>
      <c r="S37" s="132" t="n"/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12" customWidth="1" style="101" min="2" max="2"/>
    <col width="10" customWidth="1" style="101" min="3" max="3"/>
    <col width="9" customWidth="1" style="101" min="4" max="4"/>
    <col width="20" customWidth="1" style="101" min="5" max="5"/>
    <col width="12" customWidth="1" style="101" min="6" max="7"/>
    <col width="10" customWidth="1" style="101" min="8" max="8"/>
    <col width="12" customWidth="1" style="101" min="9" max="9"/>
    <col width="10" customWidth="1" style="101" min="10" max="10"/>
    <col width="9" customWidth="1" style="101" min="11" max="11"/>
    <col width="15" customWidth="1" style="101" min="12" max="12"/>
    <col width="22" customWidth="1" style="101" min="13" max="13"/>
    <col width="18" customWidth="1" style="101" min="14" max="14"/>
    <col width="10" customWidth="1" style="101" min="15" max="15"/>
    <col width="12" customWidth="1" style="101" min="16" max="17"/>
    <col width="18" customWidth="1" style="101" min="18" max="18"/>
  </cols>
  <sheetData>
    <row r="1" ht="27.75" customHeight="1" s="102">
      <c r="A1" s="133" t="inlineStr">
        <is>
          <t>グレイスライン 契約管理</t>
        </is>
      </c>
    </row>
    <row r="2" ht="15" customHeight="1" s="102">
      <c r="A2" s="134" t="inlineStr">
        <is>
          <t>請求ルール: 粗利×60%  ※全員松野担当・増員なし</t>
        </is>
      </c>
    </row>
    <row r="3" ht="37.5" customHeight="1" s="102">
      <c r="A3" s="135" t="inlineStr">
        <is>
          <t>ステータス</t>
        </is>
      </c>
      <c r="B3" s="135" t="inlineStr">
        <is>
          <t>氏名</t>
        </is>
      </c>
      <c r="C3" s="135" t="inlineStr">
        <is>
          <t>参画時期</t>
        </is>
      </c>
      <c r="D3" s="135" t="inlineStr">
        <is>
          <t>期間</t>
        </is>
      </c>
      <c r="E3" s="135" t="inlineStr">
        <is>
          <t>案件/上位</t>
        </is>
      </c>
      <c r="F3" s="135" t="inlineStr">
        <is>
          <t>案件単価
(上位から)</t>
        </is>
      </c>
      <c r="G3" s="135" t="inlineStr">
        <is>
          <t>仕入単価
(下位へ)</t>
        </is>
      </c>
      <c r="H3" s="135" t="inlineStr">
        <is>
          <t>粗利</t>
        </is>
      </c>
      <c r="I3" s="136" t="inlineStr">
        <is>
          <t>GL請求額
(粗利×60%)</t>
        </is>
      </c>
      <c r="J3" s="135" t="inlineStr">
        <is>
          <t>実入り</t>
        </is>
      </c>
      <c r="K3" s="135" t="inlineStr">
        <is>
          <t>支払サイト</t>
        </is>
      </c>
      <c r="L3" s="135" t="inlineStr">
        <is>
          <t>勤怠表フロー</t>
        </is>
      </c>
      <c r="M3" s="135" t="inlineStr">
        <is>
          <t>送付先 To</t>
        </is>
      </c>
      <c r="N3" s="135" t="inlineStr">
        <is>
          <t>送付先 Cc</t>
        </is>
      </c>
      <c r="O3" s="135" t="inlineStr">
        <is>
          <t>木原さん分</t>
        </is>
      </c>
      <c r="P3" s="135" t="inlineStr">
        <is>
          <t>更新サイクル</t>
        </is>
      </c>
      <c r="Q3" s="135" t="inlineStr">
        <is>
          <t>精算条件</t>
        </is>
      </c>
      <c r="R3" s="135" t="inlineStr">
        <is>
          <t>備考</t>
        </is>
      </c>
    </row>
    <row r="4" ht="18" customHeight="1" s="102">
      <c r="A4" s="137" t="inlineStr">
        <is>
          <t>退場済み</t>
        </is>
      </c>
      <c r="B4" s="138" t="inlineStr">
        <is>
          <t>田中みさ</t>
        </is>
      </c>
      <c r="C4" s="139" t="inlineStr">
        <is>
          <t>2025/1</t>
        </is>
      </c>
      <c r="D4" s="139" t="inlineStr">
        <is>
          <t>2025/3退場</t>
        </is>
      </c>
      <c r="E4" s="138" t="inlineStr">
        <is>
          <t>相馬さん</t>
        </is>
      </c>
      <c r="F4" s="140" t="n">
        <v>430000</v>
      </c>
      <c r="G4" s="140" t="n">
        <v>400000</v>
      </c>
      <c r="H4" s="141">
        <f>F4-G4</f>
        <v/>
      </c>
      <c r="I4" s="141" t="n"/>
      <c r="J4" s="141" t="n"/>
      <c r="K4" s="137" t="n"/>
      <c r="L4" s="138" t="inlineStr">
        <is>
          <t>上位からくる</t>
        </is>
      </c>
      <c r="M4" s="138" t="n"/>
      <c r="N4" s="138" t="n"/>
      <c r="O4" s="141" t="n">
        <v>0</v>
      </c>
      <c r="P4" s="139" t="inlineStr">
        <is>
          <t>3か月更新</t>
        </is>
      </c>
      <c r="Q4" s="138" t="inlineStr">
        <is>
          <t>固定</t>
        </is>
      </c>
      <c r="R4" s="138" t="n"/>
    </row>
    <row r="5" ht="18" customHeight="1" s="102">
      <c r="A5" s="142" t="inlineStr">
        <is>
          <t>稼働中</t>
        </is>
      </c>
      <c r="B5" s="143" t="inlineStr">
        <is>
          <t>石崎春光</t>
        </is>
      </c>
      <c r="C5" s="144" t="inlineStr">
        <is>
          <t>2024/9</t>
        </is>
      </c>
      <c r="D5" s="142" t="inlineStr">
        <is>
          <t>長期</t>
        </is>
      </c>
      <c r="E5" s="143" t="inlineStr">
        <is>
          <t>スウェル（松崎様）</t>
        </is>
      </c>
      <c r="F5" s="145" t="n">
        <v>680000</v>
      </c>
      <c r="G5" s="145" t="n">
        <v>640000</v>
      </c>
      <c r="H5" s="146">
        <f>F5-G5</f>
        <v/>
      </c>
      <c r="I5" s="114">
        <f>H5*0.6</f>
        <v/>
      </c>
      <c r="J5" s="114">
        <f>I5-O5</f>
        <v/>
      </c>
      <c r="K5" s="144" t="n"/>
      <c r="L5" s="143" t="inlineStr">
        <is>
          <t>上位からくる</t>
        </is>
      </c>
      <c r="M5" s="147" t="inlineStr">
        <is>
          <t>support_hajimariworks@hajimari.inc</t>
        </is>
      </c>
      <c r="N5" s="147" t="inlineStr">
        <is>
          <t>t.matsuzaki@hajimari.inc</t>
        </is>
      </c>
      <c r="O5" s="146" t="n">
        <v>0</v>
      </c>
      <c r="P5" s="142" t="inlineStr">
        <is>
          <t>四半期更新</t>
        </is>
      </c>
      <c r="Q5" s="143" t="inlineStr">
        <is>
          <t>上下割140-200h</t>
        </is>
      </c>
      <c r="R5" s="143" t="inlineStr">
        <is>
          <t>天王洲アイル</t>
        </is>
      </c>
    </row>
    <row r="6" ht="18" customHeight="1" s="102">
      <c r="A6" s="142" t="inlineStr">
        <is>
          <t>稼働中</t>
        </is>
      </c>
      <c r="B6" s="143" t="inlineStr">
        <is>
          <t>山内清</t>
        </is>
      </c>
      <c r="C6" s="144" t="inlineStr">
        <is>
          <t>2024/10</t>
        </is>
      </c>
      <c r="D6" s="142" t="inlineStr">
        <is>
          <t>長期</t>
        </is>
      </c>
      <c r="E6" s="143" t="inlineStr">
        <is>
          <t>スウェル</t>
        </is>
      </c>
      <c r="F6" s="145" t="n">
        <v>440000</v>
      </c>
      <c r="G6" s="145" t="n">
        <v>370000</v>
      </c>
      <c r="H6" s="146">
        <f>F6-G6</f>
        <v/>
      </c>
      <c r="I6" s="114">
        <f>H6*0.6</f>
        <v/>
      </c>
      <c r="J6" s="114">
        <f>I6-O6</f>
        <v/>
      </c>
      <c r="K6" s="144" t="n"/>
      <c r="L6" s="143" t="inlineStr">
        <is>
          <t>上位からくる</t>
        </is>
      </c>
      <c r="M6" s="147" t="n"/>
      <c r="N6" s="147" t="n"/>
      <c r="O6" s="146" t="n">
        <v>10000</v>
      </c>
      <c r="P6" s="144" t="inlineStr">
        <is>
          <t>3か月更新</t>
        </is>
      </c>
      <c r="Q6" s="143" t="inlineStr">
        <is>
          <t>上下割150-190h</t>
        </is>
      </c>
      <c r="R6" s="143" t="inlineStr">
        <is>
          <t>年金機構保守 吉祥寺</t>
        </is>
      </c>
    </row>
    <row r="7" ht="18" customHeight="1" s="102">
      <c r="A7" s="142" t="inlineStr">
        <is>
          <t>稼働中</t>
        </is>
      </c>
      <c r="B7" s="143" t="inlineStr">
        <is>
          <t>荒井大輝</t>
        </is>
      </c>
      <c r="C7" s="144" t="inlineStr">
        <is>
          <t>2025/6</t>
        </is>
      </c>
      <c r="D7" s="142" t="inlineStr">
        <is>
          <t>長期</t>
        </is>
      </c>
      <c r="E7" s="143" t="inlineStr">
        <is>
          <t>スウェル（テックビズ）</t>
        </is>
      </c>
      <c r="F7" s="145" t="n">
        <v>620000</v>
      </c>
      <c r="G7" s="145" t="n">
        <v>550000</v>
      </c>
      <c r="H7" s="146">
        <f>F7-G7</f>
        <v/>
      </c>
      <c r="I7" s="114">
        <f>H7*0.6</f>
        <v/>
      </c>
      <c r="J7" s="114">
        <f>I7-O7</f>
        <v/>
      </c>
      <c r="K7" s="144" t="n"/>
      <c r="L7" s="143" t="inlineStr">
        <is>
          <t>上位からくる</t>
        </is>
      </c>
      <c r="M7" s="147" t="n"/>
      <c r="N7" s="147" t="n"/>
      <c r="O7" s="146" t="n">
        <v>10000</v>
      </c>
      <c r="P7" s="144" t="inlineStr">
        <is>
          <t>3か月更新</t>
        </is>
      </c>
      <c r="Q7" s="143" t="inlineStr">
        <is>
          <t>上下割140-200h</t>
        </is>
      </c>
      <c r="R7" s="147" t="inlineStr">
        <is>
          <t>Java 赤坂見附</t>
        </is>
      </c>
    </row>
    <row r="8" ht="18" customHeight="1" s="102">
      <c r="A8" s="148" t="inlineStr">
        <is>
          <t>退場済み</t>
        </is>
      </c>
      <c r="B8" s="149" t="inlineStr">
        <is>
          <t>立野和紀</t>
        </is>
      </c>
      <c r="C8" s="150" t="inlineStr">
        <is>
          <t>2025/7</t>
        </is>
      </c>
      <c r="D8" s="150" t="inlineStr">
        <is>
          <t>2025/3退場</t>
        </is>
      </c>
      <c r="E8" s="149" t="inlineStr">
        <is>
          <t>スウェル（エンジニアのミカタ）</t>
        </is>
      </c>
      <c r="F8" s="151" t="n">
        <v>520000</v>
      </c>
      <c r="G8" s="151" t="n">
        <v>450000</v>
      </c>
      <c r="H8" s="152">
        <f>F8-G8</f>
        <v/>
      </c>
      <c r="I8" s="152" t="n"/>
      <c r="J8" s="152" t="n"/>
      <c r="K8" s="150" t="n"/>
      <c r="L8" s="149" t="inlineStr">
        <is>
          <t>所属から回収</t>
        </is>
      </c>
      <c r="M8" s="149" t="n"/>
      <c r="N8" s="149" t="n"/>
      <c r="O8" s="152" t="n">
        <v>10000</v>
      </c>
      <c r="P8" s="150" t="n"/>
      <c r="Q8" s="149" t="inlineStr">
        <is>
          <t>固定</t>
        </is>
      </c>
      <c r="R8" s="149" t="inlineStr">
        <is>
          <t>食品業界 天王町</t>
        </is>
      </c>
    </row>
    <row r="9" ht="18" customHeight="1" s="102">
      <c r="A9" s="148" t="inlineStr">
        <is>
          <t>退場済み</t>
        </is>
      </c>
      <c r="B9" s="149" t="inlineStr">
        <is>
          <t>吉田</t>
        </is>
      </c>
      <c r="C9" s="150" t="inlineStr">
        <is>
          <t>2024/7</t>
        </is>
      </c>
      <c r="D9" s="148" t="inlineStr">
        <is>
          <t>退場済み</t>
        </is>
      </c>
      <c r="E9" s="149" t="inlineStr">
        <is>
          <t>システムワークス</t>
        </is>
      </c>
      <c r="F9" s="151" t="n">
        <v>810000</v>
      </c>
      <c r="G9" s="151" t="n">
        <v>760000</v>
      </c>
      <c r="H9" s="152">
        <f>F9-G9</f>
        <v/>
      </c>
      <c r="I9" s="152" t="n"/>
      <c r="J9" s="152" t="n"/>
      <c r="K9" s="150" t="n"/>
      <c r="L9" s="149" t="inlineStr">
        <is>
          <t>上位からくる</t>
        </is>
      </c>
      <c r="M9" s="149" t="n"/>
      <c r="N9" s="149" t="n"/>
      <c r="O9" s="152" t="n">
        <v>0</v>
      </c>
      <c r="P9" s="150" t="n"/>
      <c r="Q9" s="149" t="n"/>
      <c r="R9" s="153" t="inlineStr">
        <is>
          <t>Java</t>
        </is>
      </c>
    </row>
    <row r="10" ht="18" customHeight="1" s="102">
      <c r="A10" s="148" t="inlineStr">
        <is>
          <t>退場済み</t>
        </is>
      </c>
      <c r="B10" s="149" t="inlineStr">
        <is>
          <t>高橋</t>
        </is>
      </c>
      <c r="C10" s="150" t="inlineStr">
        <is>
          <t>2024/8</t>
        </is>
      </c>
      <c r="D10" s="150" t="inlineStr">
        <is>
          <t>2025/3退場</t>
        </is>
      </c>
      <c r="E10" s="153" t="inlineStr">
        <is>
          <t>Aster</t>
        </is>
      </c>
      <c r="F10" s="151" t="n">
        <v>304000</v>
      </c>
      <c r="G10" s="151" t="n">
        <v>280000</v>
      </c>
      <c r="H10" s="152">
        <f>F10-G10</f>
        <v/>
      </c>
      <c r="I10" s="152" t="n"/>
      <c r="J10" s="152" t="n"/>
      <c r="K10" s="150" t="n"/>
      <c r="L10" s="149" t="inlineStr">
        <is>
          <t>下からくる</t>
        </is>
      </c>
      <c r="M10" s="153" t="n"/>
      <c r="N10" s="153" t="n"/>
      <c r="O10" s="152" t="n">
        <v>0</v>
      </c>
      <c r="P10" s="150" t="n"/>
      <c r="Q10" s="149" t="inlineStr">
        <is>
          <t>時給1900</t>
        </is>
      </c>
      <c r="R10" s="149" t="inlineStr">
        <is>
          <t>コール</t>
        </is>
      </c>
    </row>
    <row r="11" ht="18" customHeight="1" s="102">
      <c r="A11" s="148" t="inlineStr">
        <is>
          <t>退場済み</t>
        </is>
      </c>
      <c r="B11" s="149" t="inlineStr">
        <is>
          <t>小松</t>
        </is>
      </c>
      <c r="C11" s="150" t="inlineStr">
        <is>
          <t>2024/8</t>
        </is>
      </c>
      <c r="D11" s="150" t="inlineStr">
        <is>
          <t>2025/5退場</t>
        </is>
      </c>
      <c r="E11" s="149" t="inlineStr">
        <is>
          <t>スウェル（テックビズ）</t>
        </is>
      </c>
      <c r="F11" s="151" t="n">
        <v>600000</v>
      </c>
      <c r="G11" s="151" t="n">
        <v>550000</v>
      </c>
      <c r="H11" s="152">
        <f>F11-G11</f>
        <v/>
      </c>
      <c r="I11" s="152" t="n"/>
      <c r="J11" s="152" t="n"/>
      <c r="K11" s="150" t="n"/>
      <c r="L11" s="149" t="inlineStr">
        <is>
          <t>下からくる</t>
        </is>
      </c>
      <c r="M11" s="153" t="n"/>
      <c r="N11" s="153" t="n"/>
      <c r="O11" s="152" t="n">
        <v>0</v>
      </c>
      <c r="P11" s="150" t="n"/>
      <c r="Q11" s="149" t="inlineStr">
        <is>
          <t>上下割</t>
        </is>
      </c>
      <c r="R11" s="153" t="inlineStr">
        <is>
          <t>C# フルリモ</t>
        </is>
      </c>
    </row>
    <row r="12" ht="18" customHeight="1" s="102">
      <c r="A12" s="148" t="inlineStr">
        <is>
          <t>退場済み</t>
        </is>
      </c>
      <c r="B12" s="149" t="inlineStr">
        <is>
          <t>佐藤</t>
        </is>
      </c>
      <c r="C12" s="150" t="inlineStr">
        <is>
          <t>2024/9</t>
        </is>
      </c>
      <c r="D12" s="148" t="inlineStr">
        <is>
          <t>退場済み</t>
        </is>
      </c>
      <c r="E12" s="149" t="inlineStr">
        <is>
          <t>和田さん</t>
        </is>
      </c>
      <c r="F12" s="151" t="n">
        <v>690000</v>
      </c>
      <c r="G12" s="151" t="n">
        <v>630000</v>
      </c>
      <c r="H12" s="152">
        <f>F12-G12</f>
        <v/>
      </c>
      <c r="I12" s="152" t="n"/>
      <c r="J12" s="152" t="n"/>
      <c r="K12" s="150" t="n"/>
      <c r="L12" s="149" t="inlineStr">
        <is>
          <t>下からくる</t>
        </is>
      </c>
      <c r="M12" s="153" t="n"/>
      <c r="N12" s="153" t="n"/>
      <c r="O12" s="152" t="n">
        <v>0</v>
      </c>
      <c r="P12" s="150" t="n"/>
      <c r="Q12" s="153" t="n"/>
      <c r="R12" s="153" t="inlineStr">
        <is>
          <t>Nuxt</t>
        </is>
      </c>
    </row>
    <row r="13" ht="18" customHeight="1" s="102">
      <c r="A13" s="148" t="inlineStr">
        <is>
          <t>退場済み</t>
        </is>
      </c>
      <c r="B13" s="149" t="inlineStr">
        <is>
          <t>木内</t>
        </is>
      </c>
      <c r="C13" s="150" t="inlineStr">
        <is>
          <t>2025/1</t>
        </is>
      </c>
      <c r="D13" s="150" t="inlineStr">
        <is>
          <t>2025/3退場</t>
        </is>
      </c>
      <c r="E13" s="149" t="inlineStr">
        <is>
          <t>スウェル</t>
        </is>
      </c>
      <c r="F13" s="151" t="n">
        <v>700000</v>
      </c>
      <c r="G13" s="151" t="n">
        <v>620000</v>
      </c>
      <c r="H13" s="152">
        <f>F13-G13</f>
        <v/>
      </c>
      <c r="I13" s="152" t="n"/>
      <c r="J13" s="152" t="n"/>
      <c r="K13" s="150" t="n"/>
      <c r="L13" s="149" t="inlineStr">
        <is>
          <t>上位からくる</t>
        </is>
      </c>
      <c r="M13" s="153" t="n"/>
      <c r="N13" s="153" t="n"/>
      <c r="O13" s="152" t="n">
        <v>0</v>
      </c>
      <c r="P13" s="150" t="n"/>
      <c r="Q13" s="149" t="inlineStr">
        <is>
          <t>上下割140-200h</t>
        </is>
      </c>
      <c r="R13" s="149" t="inlineStr">
        <is>
          <t>要件定義 赤坂見附</t>
        </is>
      </c>
    </row>
    <row r="14" ht="18" customHeight="1" s="102">
      <c r="A14" s="148" t="inlineStr">
        <is>
          <t>退場済み</t>
        </is>
      </c>
      <c r="B14" s="149" t="inlineStr">
        <is>
          <t>染谷</t>
        </is>
      </c>
      <c r="C14" s="150" t="inlineStr">
        <is>
          <t>2025/2</t>
        </is>
      </c>
      <c r="D14" s="150" t="inlineStr">
        <is>
          <t>2025/9退場</t>
        </is>
      </c>
      <c r="E14" s="149" t="inlineStr">
        <is>
          <t>スウェル（ブランチ）</t>
        </is>
      </c>
      <c r="F14" s="151" t="n">
        <v>660000</v>
      </c>
      <c r="G14" s="151" t="n">
        <v>570000</v>
      </c>
      <c r="H14" s="152">
        <f>F14-G14</f>
        <v/>
      </c>
      <c r="I14" s="152" t="n"/>
      <c r="J14" s="152" t="n"/>
      <c r="K14" s="150" t="n"/>
      <c r="L14" s="149" t="inlineStr">
        <is>
          <t>上位からくる</t>
        </is>
      </c>
      <c r="M14" s="153" t="n"/>
      <c r="N14" s="153" t="n"/>
      <c r="O14" s="152" t="n">
        <v>10000</v>
      </c>
      <c r="P14" s="150" t="n"/>
      <c r="Q14" s="149" t="inlineStr">
        <is>
          <t>上下割140-200h</t>
        </is>
      </c>
      <c r="R14" s="153" t="inlineStr">
        <is>
          <t>Java 赤坂見附</t>
        </is>
      </c>
    </row>
    <row r="15" ht="18" customHeight="1" s="102">
      <c r="A15" s="148" t="inlineStr">
        <is>
          <t>退場済み</t>
        </is>
      </c>
      <c r="B15" s="149" t="inlineStr">
        <is>
          <t>女鹿</t>
        </is>
      </c>
      <c r="C15" s="150" t="inlineStr">
        <is>
          <t>2025/3</t>
        </is>
      </c>
      <c r="D15" s="150" t="inlineStr">
        <is>
          <t>2025/7退場</t>
        </is>
      </c>
      <c r="E15" s="149" t="inlineStr">
        <is>
          <t>スウェル（工藤さん）</t>
        </is>
      </c>
      <c r="F15" s="151" t="n">
        <v>830000</v>
      </c>
      <c r="G15" s="151" t="n">
        <v>810000</v>
      </c>
      <c r="H15" s="152">
        <f>F15-G15</f>
        <v/>
      </c>
      <c r="I15" s="152" t="n"/>
      <c r="J15" s="152" t="n"/>
      <c r="K15" s="150" t="n"/>
      <c r="L15" s="149" t="inlineStr">
        <is>
          <t>上位からくる</t>
        </is>
      </c>
      <c r="M15" s="153" t="inlineStr">
        <is>
          <t>contact@k-sync.com</t>
        </is>
      </c>
      <c r="N15" s="153" t="n"/>
      <c r="O15" s="152" t="n">
        <v>0</v>
      </c>
      <c r="P15" s="150" t="n"/>
      <c r="Q15" s="149" t="inlineStr">
        <is>
          <t>上下割140-200h</t>
        </is>
      </c>
      <c r="R15" s="149" t="inlineStr">
        <is>
          <t>フロント開発</t>
        </is>
      </c>
    </row>
    <row r="16" ht="18" customHeight="1" s="102">
      <c r="A16" s="148" t="inlineStr">
        <is>
          <t>退場済み</t>
        </is>
      </c>
      <c r="B16" s="149" t="inlineStr">
        <is>
          <t>井下</t>
        </is>
      </c>
      <c r="C16" s="150" t="inlineStr">
        <is>
          <t>2025/4</t>
        </is>
      </c>
      <c r="D16" s="150" t="inlineStr">
        <is>
          <t>2026/2退場</t>
        </is>
      </c>
      <c r="E16" s="149" t="inlineStr">
        <is>
          <t>スウェル（テックビズ）</t>
        </is>
      </c>
      <c r="F16" s="151" t="n">
        <v>740000</v>
      </c>
      <c r="G16" s="151" t="n">
        <v>670000</v>
      </c>
      <c r="H16" s="152">
        <f>F16-G16</f>
        <v/>
      </c>
      <c r="I16" s="152" t="n"/>
      <c r="J16" s="152" t="n"/>
      <c r="K16" s="150" t="n"/>
      <c r="L16" s="149" t="inlineStr">
        <is>
          <t>上位からくる</t>
        </is>
      </c>
      <c r="M16" s="153" t="n"/>
      <c r="N16" s="153" t="n"/>
      <c r="O16" s="152" t="n">
        <v>10000</v>
      </c>
      <c r="P16" s="150" t="n"/>
      <c r="Q16" s="149" t="inlineStr">
        <is>
          <t>上下割140-200h</t>
        </is>
      </c>
      <c r="R16" s="153" t="inlineStr">
        <is>
          <t>iOS 赤坂見附</t>
        </is>
      </c>
    </row>
    <row r="17" ht="18" customHeight="1" s="102">
      <c r="A17" s="148" t="inlineStr">
        <is>
          <t>退場済み</t>
        </is>
      </c>
      <c r="B17" s="149" t="inlineStr">
        <is>
          <t>筒井</t>
        </is>
      </c>
      <c r="C17" s="150" t="inlineStr">
        <is>
          <t>2025/6</t>
        </is>
      </c>
      <c r="D17" s="150" t="inlineStr">
        <is>
          <t>2025/10退場</t>
        </is>
      </c>
      <c r="E17" s="149" t="inlineStr">
        <is>
          <t>スウェル（SEシェア）</t>
        </is>
      </c>
      <c r="F17" s="151" t="n">
        <v>600000</v>
      </c>
      <c r="G17" s="151" t="n">
        <v>530000</v>
      </c>
      <c r="H17" s="152">
        <f>F17-G17</f>
        <v/>
      </c>
      <c r="I17" s="152" t="n"/>
      <c r="J17" s="152" t="n"/>
      <c r="K17" s="150" t="n"/>
      <c r="L17" s="149" t="inlineStr">
        <is>
          <t>上位からくる</t>
        </is>
      </c>
      <c r="M17" s="153" t="n"/>
      <c r="N17" s="153" t="n"/>
      <c r="O17" s="152" t="n">
        <v>10000</v>
      </c>
      <c r="P17" s="150" t="n"/>
      <c r="Q17" s="149" t="inlineStr">
        <is>
          <t>上下割140-200h</t>
        </is>
      </c>
      <c r="R17" s="153" t="inlineStr">
        <is>
          <t>Java 赤坂見附</t>
        </is>
      </c>
    </row>
    <row r="18" ht="18" customHeight="1" s="102">
      <c r="A18" s="148" t="inlineStr">
        <is>
          <t>退場済み</t>
        </is>
      </c>
      <c r="B18" s="149" t="inlineStr">
        <is>
          <t>守山</t>
        </is>
      </c>
      <c r="C18" s="150" t="inlineStr">
        <is>
          <t>2025/10</t>
        </is>
      </c>
      <c r="D18" s="150" t="inlineStr">
        <is>
          <t>2025/12退場</t>
        </is>
      </c>
      <c r="E18" s="149" t="inlineStr">
        <is>
          <t>スウェル（エプコット）</t>
        </is>
      </c>
      <c r="F18" s="151" t="n">
        <v>600000</v>
      </c>
      <c r="G18" s="151" t="n">
        <v>480000</v>
      </c>
      <c r="H18" s="152">
        <f>F18-G18</f>
        <v/>
      </c>
      <c r="I18" s="152" t="n"/>
      <c r="J18" s="152" t="n"/>
      <c r="K18" s="150" t="n"/>
      <c r="L18" s="149" t="inlineStr">
        <is>
          <t>上位からくる</t>
        </is>
      </c>
      <c r="M18" s="153" t="n"/>
      <c r="N18" s="153" t="n"/>
      <c r="O18" s="152" t="n">
        <v>0</v>
      </c>
      <c r="P18" s="150" t="n"/>
      <c r="Q18" s="149" t="inlineStr">
        <is>
          <t>上下割140-200h</t>
        </is>
      </c>
      <c r="R18" s="153" t="inlineStr">
        <is>
          <t>SQL 赤坂見附</t>
        </is>
      </c>
    </row>
    <row r="19" ht="18" customHeight="1" s="102">
      <c r="A19" s="148" t="inlineStr">
        <is>
          <t>退場済み</t>
        </is>
      </c>
      <c r="B19" s="149" t="inlineStr">
        <is>
          <t>木村（GL）</t>
        </is>
      </c>
      <c r="C19" s="150" t="inlineStr">
        <is>
          <t>2025/10</t>
        </is>
      </c>
      <c r="D19" s="150" t="inlineStr">
        <is>
          <t>2026/2退場</t>
        </is>
      </c>
      <c r="E19" s="149" t="inlineStr">
        <is>
          <t>スウェル</t>
        </is>
      </c>
      <c r="F19" s="151" t="n">
        <v>670000</v>
      </c>
      <c r="G19" s="151" t="n">
        <v>600000</v>
      </c>
      <c r="H19" s="152">
        <f>F19-G19</f>
        <v/>
      </c>
      <c r="I19" s="152" t="n"/>
      <c r="J19" s="152" t="n"/>
      <c r="K19" s="150" t="n"/>
      <c r="L19" s="149" t="inlineStr">
        <is>
          <t>上位からくる</t>
        </is>
      </c>
      <c r="M19" s="153" t="n"/>
      <c r="N19" s="153" t="n"/>
      <c r="O19" s="152" t="n">
        <v>10000</v>
      </c>
      <c r="P19" s="150" t="n"/>
      <c r="Q19" s="149" t="inlineStr">
        <is>
          <t>上下割140-200h</t>
        </is>
      </c>
      <c r="R19" s="153" t="inlineStr">
        <is>
          <t>Java 赤坂見附</t>
        </is>
      </c>
    </row>
    <row r="20" ht="21.75" customHeight="1" s="102">
      <c r="A20" s="154" t="inlineStr">
        <is>
          <t>稼働中合計</t>
        </is>
      </c>
      <c r="B20" s="130" t="n"/>
      <c r="C20" s="130" t="n"/>
      <c r="D20" s="130" t="n"/>
      <c r="E20" s="155" t="n"/>
      <c r="F20" s="131">
        <f>SUMIF(A4:A19,"稼働中",F4:F19)</f>
        <v/>
      </c>
      <c r="G20" s="132" t="n"/>
      <c r="H20" s="131">
        <f>SUMIF(A4:A19,"稼働中",H4:H19)</f>
        <v/>
      </c>
      <c r="I20" s="131">
        <f>SUMIF(A4:A19,"稼働中",I4:I19)</f>
        <v/>
      </c>
      <c r="J20" s="131">
        <f>SUMIF(A4:A19,"稼働中",J4:J19)</f>
        <v/>
      </c>
      <c r="K20" s="132" t="n"/>
      <c r="L20" s="132" t="n"/>
      <c r="M20" s="132" t="n"/>
      <c r="N20" s="132" t="n"/>
      <c r="O20" s="132" t="n"/>
      <c r="P20" s="132" t="n"/>
      <c r="Q20" s="132" t="n"/>
      <c r="R20" s="132" t="n"/>
    </row>
  </sheetData>
  <mergeCells count="2">
    <mergeCell ref="A1:R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1" min="1" max="1"/>
    <col width="9" customWidth="1" style="101" min="2" max="2"/>
    <col width="12" customWidth="1" style="101" min="3" max="3"/>
    <col width="10" customWidth="1" style="101" min="4" max="4"/>
    <col width="9" customWidth="1" style="101" min="5" max="5"/>
    <col width="20" customWidth="1" style="101" min="6" max="6"/>
    <col width="12" customWidth="1" style="101" min="7" max="8"/>
    <col width="10" customWidth="1" style="101" min="9" max="9"/>
    <col width="11" customWidth="1" style="101" min="10" max="10"/>
    <col width="10" customWidth="1" style="101" min="11" max="12"/>
    <col width="9" customWidth="1" style="101" min="13" max="13"/>
    <col width="15" customWidth="1" style="101" min="14" max="14"/>
    <col width="20" customWidth="1" style="101" min="15" max="15"/>
    <col width="10" customWidth="1" style="101" min="16" max="16"/>
    <col width="12" customWidth="1" style="101" min="17" max="17"/>
    <col width="18" customWidth="1" style="101" min="18" max="18"/>
  </cols>
  <sheetData>
    <row r="1" ht="27.75" customHeight="1" s="102">
      <c r="A1" s="156" t="inlineStr">
        <is>
          <t>フラップテック 契約管理</t>
        </is>
      </c>
    </row>
    <row r="2" ht="15" customHeight="1" s="102">
      <c r="A2" s="134" t="inlineStr">
        <is>
          <t>請求ルール: 通常=粗利×68%　小坂折半=粗利×48%　岡本担当=粗利×68%全額払出　岡本折半=粗利×68%の50%払出</t>
        </is>
      </c>
    </row>
    <row r="3" ht="37.5" customHeight="1" s="102">
      <c r="A3" s="157" t="inlineStr">
        <is>
          <t>担当</t>
        </is>
      </c>
      <c r="B3" s="157" t="inlineStr">
        <is>
          <t>ステータス</t>
        </is>
      </c>
      <c r="C3" s="157" t="inlineStr">
        <is>
          <t>氏名</t>
        </is>
      </c>
      <c r="D3" s="157" t="inlineStr">
        <is>
          <t>参画時期</t>
        </is>
      </c>
      <c r="E3" s="157" t="inlineStr">
        <is>
          <t>期間</t>
        </is>
      </c>
      <c r="F3" s="157" t="inlineStr">
        <is>
          <t>案件/上位</t>
        </is>
      </c>
      <c r="G3" s="157" t="inlineStr">
        <is>
          <t>案件単価
(上位から)</t>
        </is>
      </c>
      <c r="H3" s="157" t="inlineStr">
        <is>
          <t>仕入単価
(下位へ)</t>
        </is>
      </c>
      <c r="I3" s="157" t="inlineStr">
        <is>
          <t>粗利</t>
        </is>
      </c>
      <c r="J3" s="158" t="inlineStr">
        <is>
          <t>FT請求額</t>
        </is>
      </c>
      <c r="K3" s="157" t="inlineStr">
        <is>
          <t>岡本払出</t>
        </is>
      </c>
      <c r="L3" s="157" t="inlineStr">
        <is>
          <t>実入り</t>
        </is>
      </c>
      <c r="M3" s="157" t="inlineStr">
        <is>
          <t>支払サイト</t>
        </is>
      </c>
      <c r="N3" s="157" t="inlineStr">
        <is>
          <t>勤怠表フロー</t>
        </is>
      </c>
      <c r="O3" s="157" t="inlineStr">
        <is>
          <t>送付先</t>
        </is>
      </c>
      <c r="P3" s="157" t="inlineStr">
        <is>
          <t>木原さん分</t>
        </is>
      </c>
      <c r="Q3" s="157" t="inlineStr">
        <is>
          <t>更新サイクル</t>
        </is>
      </c>
      <c r="R3" s="157" t="inlineStr">
        <is>
          <t>備考</t>
        </is>
      </c>
    </row>
    <row r="4" ht="18" customHeight="1" s="102">
      <c r="A4" s="159" t="n"/>
      <c r="B4" s="160" t="inlineStr">
        <is>
          <t>稼働中</t>
        </is>
      </c>
      <c r="C4" s="161" t="inlineStr">
        <is>
          <t>笠井健太</t>
        </is>
      </c>
      <c r="D4" s="159" t="inlineStr">
        <is>
          <t>2026/2</t>
        </is>
      </c>
      <c r="E4" s="160" t="inlineStr">
        <is>
          <t>長期</t>
        </is>
      </c>
      <c r="F4" s="161" t="inlineStr">
        <is>
          <t>スウェル（松堂さん）</t>
        </is>
      </c>
      <c r="G4" s="162" t="n">
        <v>720000</v>
      </c>
      <c r="H4" s="162" t="n">
        <v>620000</v>
      </c>
      <c r="I4" s="163">
        <f>G4-H4</f>
        <v/>
      </c>
      <c r="J4" s="114">
        <f>I4*0.68</f>
        <v/>
      </c>
      <c r="K4" s="163" t="n"/>
      <c r="L4" s="114">
        <f>J4</f>
        <v/>
      </c>
      <c r="M4" s="159" t="n">
        <v>45</v>
      </c>
      <c r="N4" s="161" t="inlineStr">
        <is>
          <t>上位からくる</t>
        </is>
      </c>
      <c r="O4" s="164" t="inlineStr">
        <is>
          <t>LINE</t>
        </is>
      </c>
      <c r="P4" s="162" t="n">
        <v>10000</v>
      </c>
      <c r="Q4" s="160" t="inlineStr">
        <is>
          <t>四半期更新</t>
        </is>
      </c>
      <c r="R4" s="161" t="inlineStr">
        <is>
          <t>通信会社運用 門前仲町</t>
        </is>
      </c>
    </row>
    <row r="5" ht="18" customHeight="1" s="102">
      <c r="A5" s="159" t="n"/>
      <c r="B5" s="160" t="inlineStr">
        <is>
          <t>稼働中</t>
        </is>
      </c>
      <c r="C5" s="161" t="inlineStr">
        <is>
          <t>原昌志</t>
        </is>
      </c>
      <c r="D5" s="159" t="inlineStr">
        <is>
          <t>2026/3</t>
        </is>
      </c>
      <c r="E5" s="160" t="inlineStr">
        <is>
          <t>スポット</t>
        </is>
      </c>
      <c r="F5" s="161" t="inlineStr">
        <is>
          <t>スウェル</t>
        </is>
      </c>
      <c r="G5" s="162" t="n">
        <v>650000</v>
      </c>
      <c r="H5" s="162" t="n">
        <v>550000</v>
      </c>
      <c r="I5" s="163">
        <f>G5-H5</f>
        <v/>
      </c>
      <c r="J5" s="114">
        <f>I5*0.68</f>
        <v/>
      </c>
      <c r="K5" s="163" t="n"/>
      <c r="L5" s="114">
        <f>J5</f>
        <v/>
      </c>
      <c r="M5" s="159" t="n">
        <v>45</v>
      </c>
      <c r="N5" s="161" t="inlineStr">
        <is>
          <t>上位からくる</t>
        </is>
      </c>
      <c r="O5" s="164" t="inlineStr">
        <is>
          <t>LINE</t>
        </is>
      </c>
      <c r="P5" s="162" t="n">
        <v>20000</v>
      </c>
      <c r="Q5" s="160" t="inlineStr">
        <is>
          <t>単月</t>
        </is>
      </c>
      <c r="R5" s="161" t="inlineStr">
        <is>
          <t>スポット 赤坂見附</t>
        </is>
      </c>
    </row>
    <row r="6" ht="18" customHeight="1" s="102">
      <c r="A6" s="159" t="n"/>
      <c r="B6" s="160" t="inlineStr">
        <is>
          <t>稼働中</t>
        </is>
      </c>
      <c r="C6" s="161" t="inlineStr">
        <is>
          <t>木村勇太</t>
        </is>
      </c>
      <c r="D6" s="159" t="inlineStr">
        <is>
          <t>2026/3</t>
        </is>
      </c>
      <c r="E6" s="160" t="inlineStr">
        <is>
          <t>長期</t>
        </is>
      </c>
      <c r="F6" s="161" t="inlineStr">
        <is>
          <t>スウェル</t>
        </is>
      </c>
      <c r="G6" s="162" t="n">
        <v>670000</v>
      </c>
      <c r="H6" s="162" t="n">
        <v>600000</v>
      </c>
      <c r="I6" s="163">
        <f>G6-H6</f>
        <v/>
      </c>
      <c r="J6" s="114">
        <f>I6*0.68</f>
        <v/>
      </c>
      <c r="K6" s="163" t="n"/>
      <c r="L6" s="114">
        <f>J6</f>
        <v/>
      </c>
      <c r="M6" s="159" t="n">
        <v>45</v>
      </c>
      <c r="N6" s="161" t="inlineStr">
        <is>
          <t>上位からくる</t>
        </is>
      </c>
      <c r="O6" s="164" t="inlineStr">
        <is>
          <t>LINE</t>
        </is>
      </c>
      <c r="P6" s="162" t="n">
        <v>10000</v>
      </c>
      <c r="Q6" s="160" t="inlineStr">
        <is>
          <t>単月更新</t>
        </is>
      </c>
      <c r="R6" s="164" t="inlineStr">
        <is>
          <t>Java 赤坂見附</t>
        </is>
      </c>
    </row>
    <row r="7" ht="18" customHeight="1" s="102">
      <c r="A7" s="160" t="inlineStr">
        <is>
          <t>小坂折半</t>
        </is>
      </c>
      <c r="B7" s="160" t="inlineStr">
        <is>
          <t>稼働中</t>
        </is>
      </c>
      <c r="C7" s="161" t="inlineStr">
        <is>
          <t>加藤</t>
        </is>
      </c>
      <c r="D7" s="159" t="inlineStr">
        <is>
          <t>2026/3</t>
        </is>
      </c>
      <c r="E7" s="160" t="inlineStr">
        <is>
          <t>長期</t>
        </is>
      </c>
      <c r="F7" s="161" t="inlineStr">
        <is>
          <t>スウェル（小坂さん）</t>
        </is>
      </c>
      <c r="G7" s="162" t="n">
        <v>630000</v>
      </c>
      <c r="H7" s="162" t="n">
        <v>550000</v>
      </c>
      <c r="I7" s="163">
        <f>G7-H7</f>
        <v/>
      </c>
      <c r="J7" s="114">
        <f>I7*0.48</f>
        <v/>
      </c>
      <c r="K7" s="163" t="n"/>
      <c r="L7" s="114">
        <f>J7</f>
        <v/>
      </c>
      <c r="M7" s="159" t="n">
        <v>45</v>
      </c>
      <c r="N7" s="161" t="inlineStr">
        <is>
          <t>上位からくる</t>
        </is>
      </c>
      <c r="O7" s="164" t="inlineStr">
        <is>
          <t>LINE</t>
        </is>
      </c>
      <c r="P7" s="162" t="n">
        <v>11000</v>
      </c>
      <c r="Q7" s="160" t="inlineStr">
        <is>
          <t>四半期更新</t>
        </is>
      </c>
      <c r="R7" s="161" t="inlineStr">
        <is>
          <t>小坂代表折半→粗利×48%</t>
        </is>
      </c>
    </row>
    <row r="8" ht="18" customHeight="1" s="102">
      <c r="A8" s="159" t="n"/>
      <c r="B8" s="160" t="inlineStr">
        <is>
          <t>稼働中</t>
        </is>
      </c>
      <c r="C8" s="161" t="inlineStr">
        <is>
          <t>川崎健太</t>
        </is>
      </c>
      <c r="D8" s="159" t="inlineStr">
        <is>
          <t>2026/4</t>
        </is>
      </c>
      <c r="E8" s="160" t="inlineStr">
        <is>
          <t>長期</t>
        </is>
      </c>
      <c r="F8" s="161" t="inlineStr">
        <is>
          <t>スウェル</t>
        </is>
      </c>
      <c r="G8" s="162" t="n">
        <v>740000</v>
      </c>
      <c r="H8" s="162" t="n">
        <v>700000</v>
      </c>
      <c r="I8" s="163">
        <f>G8-H8</f>
        <v/>
      </c>
      <c r="J8" s="114">
        <f>I8*0.68</f>
        <v/>
      </c>
      <c r="K8" s="163" t="n"/>
      <c r="L8" s="114">
        <f>J8</f>
        <v/>
      </c>
      <c r="M8" s="159" t="n">
        <v>45</v>
      </c>
      <c r="N8" s="161" t="inlineStr">
        <is>
          <t>上位からくる</t>
        </is>
      </c>
      <c r="O8" s="164" t="inlineStr">
        <is>
          <t>LINE</t>
        </is>
      </c>
      <c r="P8" s="162" t="n">
        <v>5000</v>
      </c>
      <c r="Q8" s="160" t="inlineStr">
        <is>
          <t>単月更新</t>
        </is>
      </c>
      <c r="R8" s="161" t="inlineStr">
        <is>
          <t>赤坂見附リモート併用</t>
        </is>
      </c>
    </row>
    <row r="9" ht="18" customHeight="1" s="102">
      <c r="A9" s="159" t="n"/>
      <c r="B9" s="160" t="inlineStr">
        <is>
          <t>稼働中</t>
        </is>
      </c>
      <c r="C9" s="161" t="inlineStr">
        <is>
          <t>田中みさ</t>
        </is>
      </c>
      <c r="D9" s="159" t="inlineStr">
        <is>
          <t>2026/4</t>
        </is>
      </c>
      <c r="E9" s="160" t="inlineStr">
        <is>
          <t>長期</t>
        </is>
      </c>
      <c r="F9" s="161" t="inlineStr">
        <is>
          <t>相馬さん</t>
        </is>
      </c>
      <c r="G9" s="162" t="n">
        <v>430000</v>
      </c>
      <c r="H9" s="162" t="n">
        <v>400000</v>
      </c>
      <c r="I9" s="163">
        <f>G9-H9</f>
        <v/>
      </c>
      <c r="J9" s="114">
        <f>I9*0.68</f>
        <v/>
      </c>
      <c r="K9" s="163" t="n"/>
      <c r="L9" s="114">
        <f>J9</f>
        <v/>
      </c>
      <c r="M9" s="159" t="n">
        <v>55</v>
      </c>
      <c r="N9" s="161" t="inlineStr">
        <is>
          <t>上位からくる</t>
        </is>
      </c>
      <c r="O9" s="164" t="inlineStr">
        <is>
          <t>LINE</t>
        </is>
      </c>
      <c r="P9" s="162" t="n">
        <v>0</v>
      </c>
      <c r="Q9" s="159" t="inlineStr">
        <is>
          <t>3か月更新</t>
        </is>
      </c>
      <c r="R9" s="161" t="inlineStr">
        <is>
          <t>固定精算</t>
        </is>
      </c>
    </row>
    <row r="10" ht="18" customHeight="1" s="102">
      <c r="A10" s="159" t="n"/>
      <c r="B10" s="160" t="inlineStr">
        <is>
          <t>稼働中</t>
        </is>
      </c>
      <c r="C10" s="161" t="inlineStr">
        <is>
          <t>立野和紀</t>
        </is>
      </c>
      <c r="D10" s="159" t="inlineStr">
        <is>
          <t>2026/4</t>
        </is>
      </c>
      <c r="E10" s="160" t="inlineStr">
        <is>
          <t>長期</t>
        </is>
      </c>
      <c r="F10" s="161" t="inlineStr">
        <is>
          <t>スウェル（エンジニアのミカタ）</t>
        </is>
      </c>
      <c r="G10" s="162" t="n">
        <v>520000</v>
      </c>
      <c r="H10" s="162" t="n">
        <v>450000</v>
      </c>
      <c r="I10" s="163">
        <f>G10-H10</f>
        <v/>
      </c>
      <c r="J10" s="114">
        <f>I10*0.68</f>
        <v/>
      </c>
      <c r="K10" s="163" t="n"/>
      <c r="L10" s="114">
        <f>J10</f>
        <v/>
      </c>
      <c r="M10" s="159" t="n">
        <v>45</v>
      </c>
      <c r="N10" s="161" t="inlineStr">
        <is>
          <t>所属から回収</t>
        </is>
      </c>
      <c r="O10" s="164" t="n"/>
      <c r="P10" s="162" t="n">
        <v>10000</v>
      </c>
      <c r="Q10" s="159" t="inlineStr">
        <is>
          <t>3か月更新</t>
        </is>
      </c>
      <c r="R10" s="161" t="inlineStr">
        <is>
          <t>食品業界 固定精算</t>
        </is>
      </c>
    </row>
    <row r="11" ht="18" customHeight="1" s="102">
      <c r="A11" s="159" t="n"/>
      <c r="B11" s="160" t="inlineStr">
        <is>
          <t>稼働中</t>
        </is>
      </c>
      <c r="C11" s="161" t="inlineStr">
        <is>
          <t>佐々木駿</t>
        </is>
      </c>
      <c r="D11" s="159" t="inlineStr">
        <is>
          <t>2026/4</t>
        </is>
      </c>
      <c r="E11" s="160" t="inlineStr">
        <is>
          <t>長期</t>
        </is>
      </c>
      <c r="F11" s="161" t="inlineStr">
        <is>
          <t>スウェル</t>
        </is>
      </c>
      <c r="G11" s="162" t="n">
        <v>650000</v>
      </c>
      <c r="H11" s="162" t="n">
        <v>610000</v>
      </c>
      <c r="I11" s="163">
        <f>G11-H11</f>
        <v/>
      </c>
      <c r="J11" s="114">
        <f>I11*0.68</f>
        <v/>
      </c>
      <c r="K11" s="163" t="n"/>
      <c r="L11" s="114">
        <f>J11</f>
        <v/>
      </c>
      <c r="M11" s="159" t="n">
        <v>45</v>
      </c>
      <c r="N11" s="161" t="inlineStr">
        <is>
          <t>上位からくる</t>
        </is>
      </c>
      <c r="O11" s="164" t="inlineStr">
        <is>
          <t>LINE</t>
        </is>
      </c>
      <c r="P11" s="162" t="n">
        <v>20000</v>
      </c>
      <c r="Q11" s="160" t="inlineStr">
        <is>
          <t>単月更新</t>
        </is>
      </c>
      <c r="R11" s="164" t="inlineStr">
        <is>
          <t>Java 赤坂見附</t>
        </is>
      </c>
    </row>
    <row r="12" ht="18" customHeight="1" s="102">
      <c r="A12" s="160" t="inlineStr">
        <is>
          <t>岡本折半</t>
        </is>
      </c>
      <c r="B12" s="160" t="inlineStr">
        <is>
          <t>稼働中</t>
        </is>
      </c>
      <c r="C12" s="161" t="inlineStr">
        <is>
          <t>橋本奈緒</t>
        </is>
      </c>
      <c r="D12" s="159" t="inlineStr">
        <is>
          <t>2026/4</t>
        </is>
      </c>
      <c r="E12" s="160" t="inlineStr">
        <is>
          <t>長期</t>
        </is>
      </c>
      <c r="F12" s="161" t="inlineStr">
        <is>
          <t>スウェル（岡本テラシーク）</t>
        </is>
      </c>
      <c r="G12" s="162" t="n">
        <v>570000</v>
      </c>
      <c r="H12" s="162" t="n">
        <v>500000</v>
      </c>
      <c r="I12" s="163">
        <f>G12-H12</f>
        <v/>
      </c>
      <c r="J12" s="114">
        <f>I12*0.68</f>
        <v/>
      </c>
      <c r="K12" s="165">
        <f>J12*0.5</f>
        <v/>
      </c>
      <c r="L12" s="114">
        <f>J12-K12</f>
        <v/>
      </c>
      <c r="M12" s="159" t="n">
        <v>45</v>
      </c>
      <c r="N12" s="161" t="inlineStr">
        <is>
          <t>上位からくる</t>
        </is>
      </c>
      <c r="O12" s="164" t="inlineStr">
        <is>
          <t>LINE</t>
        </is>
      </c>
      <c r="P12" s="162" t="n">
        <v>10000</v>
      </c>
      <c r="Q12" s="160" t="inlineStr">
        <is>
          <t>単月更新</t>
        </is>
      </c>
      <c r="R12" s="161" t="inlineStr">
        <is>
          <t>赤坂見附 週3出社</t>
        </is>
      </c>
    </row>
    <row r="13" ht="18" customHeight="1" s="102">
      <c r="A13" s="101" t="inlineStr">
        <is>
          <t>小坂折半</t>
        </is>
      </c>
      <c r="B13" s="101" t="inlineStr">
        <is>
          <t>稼働中</t>
        </is>
      </c>
      <c r="C13" s="101" t="inlineStr">
        <is>
          <t>吉田祥平</t>
        </is>
      </c>
      <c r="D13" s="101" t="inlineStr">
        <is>
          <t>2026/6</t>
        </is>
      </c>
      <c r="E13" s="101" t="inlineStr">
        <is>
          <t>長期</t>
        </is>
      </c>
      <c r="F13" s="101" t="inlineStr">
        <is>
          <t>省庁ネットワーク/ICT運用（FP経由）</t>
        </is>
      </c>
      <c r="G13" s="101" t="n">
        <v>750000</v>
      </c>
      <c r="H13" s="101" t="n">
        <v>700000</v>
      </c>
      <c r="I13" s="101">
        <f>G13-H13</f>
        <v/>
      </c>
      <c r="J13" s="101">
        <f>I13*0.48</f>
        <v/>
      </c>
      <c r="K13" s="101" t="inlineStr"/>
      <c r="L13" s="101">
        <f>J13</f>
        <v/>
      </c>
      <c r="M13" s="101" t="n">
        <v>45</v>
      </c>
      <c r="N13" s="101" t="inlineStr">
        <is>
          <t>所属からメール</t>
        </is>
      </c>
      <c r="O13" s="101" t="inlineStr"/>
      <c r="P13" s="101" t="inlineStr"/>
      <c r="Q13" s="101" t="inlineStr">
        <is>
          <t>単月更新</t>
        </is>
      </c>
      <c r="R13" s="101" t="inlineStr">
        <is>
          <t>上位→FP→TERRA→所属。FP単価75万、FP-TR間70万。精算条件140-180h中間割4,370円。小坂折半で粗利×48%請求</t>
        </is>
      </c>
    </row>
    <row r="14" ht="21.75" customHeight="1" s="102">
      <c r="A14" s="129" t="inlineStr">
        <is>
          <t>稼働中合計</t>
        </is>
      </c>
      <c r="B14" s="130" t="n"/>
      <c r="C14" s="130" t="n"/>
      <c r="D14" s="130" t="n"/>
      <c r="E14" s="130" t="n"/>
      <c r="F14" s="130" t="n"/>
      <c r="G14" s="131">
        <f>SUMIF(B4:B13,"稼働中",G4:G13)</f>
        <v/>
      </c>
      <c r="H14" s="132" t="n"/>
      <c r="I14" s="131">
        <f>SUMIF(B4:B13,"稼働中",I4:I13)</f>
        <v/>
      </c>
      <c r="J14" s="131">
        <f>SUMIF(B4:B13,"稼働中",J4:J13)</f>
        <v/>
      </c>
      <c r="K14" s="131">
        <f>SUMIF(B4:B13,"稼働中",K4:K13)</f>
        <v/>
      </c>
      <c r="L14" s="131">
        <f>SUMIF(B4:B13,"稼働中",L4:L13)</f>
        <v/>
      </c>
      <c r="M14" s="132" t="n"/>
      <c r="N14" s="132" t="n"/>
      <c r="O14" s="132" t="n"/>
      <c r="P14" s="132" t="n"/>
      <c r="Q14" s="132" t="n"/>
      <c r="R14" s="132" t="n"/>
    </row>
  </sheetData>
  <mergeCells count="2">
    <mergeCell ref="A14:F14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1" min="1" max="1"/>
    <col width="10" customWidth="1" style="101" min="2" max="2"/>
    <col width="14" customWidth="1" style="101" min="3" max="3"/>
    <col width="12" customWidth="1" style="101" min="4" max="5"/>
    <col width="11" customWidth="1" style="101" min="6" max="6"/>
    <col width="12" customWidth="1" style="101" min="7" max="7"/>
    <col width="18" customWidth="1" style="101" min="8" max="8"/>
  </cols>
  <sheetData>
    <row r="1" ht="27.75" customHeight="1" s="102">
      <c r="A1" s="166" t="inlineStr">
        <is>
          <t>月次収支サマリー</t>
        </is>
      </c>
    </row>
    <row r="2" ht="15" customHeight="1" s="102">
      <c r="A2" s="167" t="inlineStr">
        <is>
          <t>対象月:</t>
        </is>
      </c>
      <c r="B2" s="168" t="n"/>
    </row>
    <row r="3" ht="34.5" customHeight="1" s="102">
      <c r="A3" s="106" t="inlineStr">
        <is>
          <t>区分</t>
        </is>
      </c>
      <c r="B3" s="106" t="inlineStr">
        <is>
          <t>稼働人数</t>
        </is>
      </c>
      <c r="C3" s="106" t="inlineStr">
        <is>
          <t>合計売上
(単価合計)</t>
        </is>
      </c>
      <c r="D3" s="106" t="inlineStr">
        <is>
          <t>合計粗利</t>
        </is>
      </c>
      <c r="E3" s="106" t="inlineStr">
        <is>
          <t>請求額
(実入り)</t>
        </is>
      </c>
      <c r="F3" s="106" t="inlineStr">
        <is>
          <t>岡本
払出合計</t>
        </is>
      </c>
      <c r="G3" s="106" t="inlineStr">
        <is>
          <t>実入り合計</t>
        </is>
      </c>
      <c r="H3" s="106" t="inlineStr">
        <is>
          <t>備考</t>
        </is>
      </c>
    </row>
    <row r="4" ht="21.75" customHeight="1" s="102">
      <c r="A4" s="112" t="inlineStr">
        <is>
          <t>TERRA（プロパー・松野）</t>
        </is>
      </c>
      <c r="B4" s="108" t="n"/>
      <c r="C4" s="113" t="n"/>
      <c r="D4" s="113" t="n"/>
      <c r="E4" s="113">
        <f>SUMIF(TERRA!C4:C35,"稼働中",TERRA!R4:R35)-SUMIF(TERRA!A4:A35,"岡本",TERRA!R4:R35)</f>
        <v/>
      </c>
      <c r="F4" s="113" t="n"/>
      <c r="G4" s="113" t="n"/>
      <c r="H4" s="108" t="n"/>
    </row>
    <row r="5" ht="21.75" customHeight="1" s="102">
      <c r="A5" s="112" t="inlineStr">
        <is>
          <t>TERRA（プロパー・岡本）</t>
        </is>
      </c>
      <c r="B5" s="108" t="n"/>
      <c r="C5" s="113" t="n"/>
      <c r="D5" s="113" t="n"/>
      <c r="E5" s="113">
        <f>SUMIF(TERRA!A4:A35,"岡本",TERRA!P4:P35)</f>
        <v/>
      </c>
      <c r="F5" s="113">
        <f>SUMIF(TERRA!A4:A35,"岡本",TERRA!Q4:Q35)</f>
        <v/>
      </c>
      <c r="G5" s="113">
        <f>C4-D4</f>
        <v/>
      </c>
      <c r="H5" s="108" t="inlineStr">
        <is>
          <t>9,000/人払出</t>
        </is>
      </c>
    </row>
    <row r="6" ht="21.75" customHeight="1" s="102">
      <c r="A6" s="112" t="inlineStr">
        <is>
          <t>TERRA（BP）</t>
        </is>
      </c>
      <c r="B6" s="108" t="n"/>
      <c r="C6" s="113" t="n"/>
      <c r="D6" s="113" t="n"/>
      <c r="E6" s="113">
        <f>SUMIF(TERRA!B4:B35,"BP",TERRA!P4:P35)</f>
        <v/>
      </c>
      <c r="F6" s="113">
        <f>SUMIF(TERRA!B4:B35,"BP",TERRA!Q4:Q35)</f>
        <v/>
      </c>
      <c r="G6" s="113">
        <f>C5-D5</f>
        <v/>
      </c>
      <c r="H6" s="108" t="n"/>
    </row>
    <row r="7" ht="21.75" customHeight="1" s="102">
      <c r="A7" s="143" t="inlineStr">
        <is>
          <t>グレイスライン</t>
        </is>
      </c>
      <c r="B7" s="144" t="n"/>
      <c r="C7" s="146" t="n"/>
      <c r="D7" s="146" t="n"/>
      <c r="E7" s="146">
        <f>SUMIF(グレイスライン!A4:A19,"稼働中",グレイスライン!J4:J19)</f>
        <v/>
      </c>
      <c r="F7" s="146" t="n"/>
      <c r="G7" s="146" t="n"/>
      <c r="H7" s="142" t="inlineStr">
        <is>
          <t>粗利×60%</t>
        </is>
      </c>
    </row>
    <row r="8" ht="21.75" customHeight="1" s="102">
      <c r="A8" s="161" t="inlineStr">
        <is>
          <t>フラップテック</t>
        </is>
      </c>
      <c r="B8" s="159" t="n"/>
      <c r="C8" s="163" t="n"/>
      <c r="D8" s="163" t="n"/>
      <c r="E8" s="163">
        <f>SUMIF(フラップテック!B4:B14,"稼働中",フラップテック!L4:L14)</f>
        <v/>
      </c>
      <c r="F8" s="163">
        <f>SUMIF(フラップテック!B4:B14,"稼働中",フラップテック!K4:K14)</f>
        <v/>
      </c>
      <c r="G8" s="163">
        <f>C7-D7</f>
        <v/>
      </c>
      <c r="H8" s="160" t="inlineStr">
        <is>
          <t>粗利×68%(小坂折半のみ48%)　※FP折半分(上位差益×50%)は別途TERRA列に加算</t>
        </is>
      </c>
    </row>
    <row r="9" ht="21.75" customHeight="1" s="102">
      <c r="A9" s="169" t="inlineStr">
        <is>
          <t>合計</t>
        </is>
      </c>
      <c r="B9" s="170" t="n"/>
      <c r="C9" s="131" t="n"/>
      <c r="D9" s="131" t="n"/>
      <c r="E9" s="131">
        <f>SUM(C4:C8)</f>
        <v/>
      </c>
      <c r="F9" s="131">
        <f>SUM(D4:D8)</f>
        <v/>
      </c>
      <c r="G9" s="131">
        <f>C9-D9</f>
        <v/>
      </c>
      <c r="H9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01" min="1" max="1"/>
    <col width="11" customWidth="1" style="101" min="2" max="2"/>
    <col width="13" customWidth="1" style="101" min="3" max="4"/>
    <col width="12" customWidth="1" style="101" min="5" max="5"/>
    <col width="13" customWidth="1" style="101" min="6" max="6"/>
    <col width="11" customWidth="1" style="101" min="7" max="9"/>
    <col width="12" customWidth="1" style="101" min="10" max="10"/>
    <col width="13" customWidth="1" style="101" min="11" max="11"/>
  </cols>
  <sheetData>
    <row r="1" ht="30" customHeight="1" s="102">
      <c r="A1" s="171" t="inlineStr">
        <is>
          <t>入金予測（5月稼働分〜9月稼働分）</t>
        </is>
      </c>
    </row>
    <row r="2" ht="13.5" customHeight="1" s="102">
      <c r="A2" s="172" t="inlineStr">
        <is>
          <t>※TERRA：請求額(税抜)×10.21%を源泉控除　GL/FT：税込がそのまま実入り　※木原さん分は入金後に個人的に渡す</t>
        </is>
      </c>
    </row>
    <row r="3" ht="45" customHeight="1" s="102">
      <c r="A3" s="173" t="inlineStr">
        <is>
          <t>入金予定日</t>
        </is>
      </c>
      <c r="B3" s="173" t="inlineStr">
        <is>
          <t>稼働月</t>
        </is>
      </c>
      <c r="C3" s="107" t="inlineStr">
        <is>
          <t>TERRA
請求(税抜)</t>
        </is>
      </c>
      <c r="D3" s="173" t="inlineStr">
        <is>
          <t>源泉徴収
(税抜×10.21%)</t>
        </is>
      </c>
      <c r="E3" s="107" t="inlineStr">
        <is>
          <t>TERRA
税込入金</t>
        </is>
      </c>
      <c r="F3" s="107" t="inlineStr">
        <is>
          <t>TERRA
実入り
(税込-源泉)</t>
        </is>
      </c>
      <c r="G3" s="107" t="inlineStr">
        <is>
          <t>GL
税込</t>
        </is>
      </c>
      <c r="H3" s="107" t="inlineStr">
        <is>
          <t>FT
税込</t>
        </is>
      </c>
      <c r="I3" s="173" t="inlineStr">
        <is>
          <t>岡本払出</t>
        </is>
      </c>
      <c r="J3" s="173" t="inlineStr">
        <is>
          <t>木原さん分
(後渡し)</t>
        </is>
      </c>
      <c r="K3" s="173" t="inlineStr">
        <is>
          <t>総実入り</t>
        </is>
      </c>
    </row>
    <row r="4" ht="18" customHeight="1" s="102">
      <c r="A4" s="174" t="inlineStr">
        <is>
          <t>◆ 2026年6月 入金分（4月稼働分・発行済）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  <c r="J4" s="130" t="n"/>
      <c r="K4" s="130" t="n"/>
    </row>
    <row r="5" ht="19.5" customHeight="1" s="102">
      <c r="A5" t="inlineStr">
        <is>
          <t>2026/06/01</t>
        </is>
      </c>
      <c r="B5" t="inlineStr">
        <is>
          <t>4月稼働分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n">
        <v>46200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46200</v>
      </c>
    </row>
    <row r="6" ht="19.5" customHeight="1" s="102">
      <c r="A6" t="inlineStr">
        <is>
          <t>2026/06/15</t>
        </is>
      </c>
      <c r="B6" t="inlineStr">
        <is>
          <t>4月稼働分</t>
        </is>
      </c>
      <c r="C6" t="n">
        <v>326810</v>
      </c>
      <c r="D6" t="n">
        <v>33367</v>
      </c>
      <c r="E6" t="n">
        <v>359491</v>
      </c>
      <c r="F6" t="n">
        <v>326124</v>
      </c>
      <c r="G6" t="n">
        <v>92400</v>
      </c>
      <c r="H6" t="n">
        <v>431200</v>
      </c>
      <c r="I6" t="inlineStr">
        <is>
          <t>-</t>
        </is>
      </c>
      <c r="J6" t="inlineStr">
        <is>
          <t>-</t>
        </is>
      </c>
      <c r="K6" t="n">
        <v>849724</v>
      </c>
    </row>
    <row r="7" ht="18" customHeight="1" s="102">
      <c r="A7" t="inlineStr">
        <is>
          <t>2026/06/30</t>
        </is>
      </c>
      <c r="B7" t="inlineStr">
        <is>
          <t>4月稼働分</t>
        </is>
      </c>
      <c r="C7" t="n">
        <v>120000</v>
      </c>
      <c r="D7" t="n">
        <v>12252</v>
      </c>
      <c r="E7" t="n">
        <v>132000</v>
      </c>
      <c r="F7" t="n">
        <v>119748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119748</v>
      </c>
    </row>
    <row r="8" ht="19.5" customHeight="1" s="102">
      <c r="A8" s="175" t="inlineStr">
        <is>
          <t>2026/06/30</t>
        </is>
      </c>
      <c r="B8" s="120" t="inlineStr">
        <is>
          <t>5月稼働分</t>
        </is>
      </c>
      <c r="C8" s="113" t="inlineStr">
        <is>
          <t>-</t>
        </is>
      </c>
      <c r="D8" s="119" t="inlineStr">
        <is>
          <t>-</t>
        </is>
      </c>
      <c r="E8" s="113" t="inlineStr">
        <is>
          <t>-</t>
        </is>
      </c>
      <c r="F8" s="114" t="inlineStr">
        <is>
          <t>-</t>
        </is>
      </c>
      <c r="G8" s="146" t="n">
        <v>26400</v>
      </c>
      <c r="H8" s="176" t="inlineStr">
        <is>
          <t>-</t>
        </is>
      </c>
      <c r="I8" s="177" t="inlineStr">
        <is>
          <t>-</t>
        </is>
      </c>
      <c r="J8" s="178" t="inlineStr">
        <is>
          <t>-</t>
        </is>
      </c>
      <c r="K8" s="179" t="n">
        <v>26400</v>
      </c>
    </row>
    <row r="9" ht="19.5" customHeight="1" s="102">
      <c r="A9" s="180" t="inlineStr">
        <is>
          <t>6月 小計</t>
        </is>
      </c>
      <c r="B9" s="130" t="n"/>
      <c r="C9" s="131">
        <f>SUM(C5:C5)</f>
        <v/>
      </c>
      <c r="D9" s="131">
        <f>SUM(D5:D5)</f>
        <v/>
      </c>
      <c r="E9" s="131">
        <f>SUM(E5:E5)</f>
        <v/>
      </c>
      <c r="F9" s="131">
        <f>SUM(F5:F5)</f>
        <v/>
      </c>
      <c r="G9" s="131">
        <f>SUM(G5:G5)</f>
        <v/>
      </c>
      <c r="H9" s="131">
        <f>SUM(H5:H5)</f>
        <v/>
      </c>
      <c r="I9" s="131">
        <f>SUM(I5:I5)</f>
        <v/>
      </c>
      <c r="J9" s="131">
        <f>SUM(J5:J5)</f>
        <v/>
      </c>
      <c r="K9" s="131">
        <f>SUM(K5:K5)</f>
        <v/>
      </c>
    </row>
    <row r="10" ht="19.5" customHeight="1" s="102">
      <c r="A10" s="174" t="inlineStr">
        <is>
          <t>◆ 2026年7月 入金分</t>
        </is>
      </c>
      <c r="B10" s="130" t="n"/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</row>
    <row r="11" ht="18" customHeight="1" s="102">
      <c r="A11" s="181" t="inlineStr">
        <is>
          <t>2026/07/15</t>
        </is>
      </c>
      <c r="B11" s="182" t="inlineStr">
        <is>
          <t>5月稼働分</t>
        </is>
      </c>
      <c r="C11" s="113" t="n">
        <v>1633000</v>
      </c>
      <c r="D11" s="119" t="n">
        <v>166729</v>
      </c>
      <c r="E11" s="113" t="n">
        <v>1796300</v>
      </c>
      <c r="F11" s="114" t="n">
        <v>1629571</v>
      </c>
      <c r="G11" s="146" t="n">
        <v>92400</v>
      </c>
      <c r="H11" s="163" t="n">
        <v>457600</v>
      </c>
      <c r="I11" s="183" t="n">
        <v>23800</v>
      </c>
      <c r="J11" s="184" t="n">
        <v>22000</v>
      </c>
      <c r="K11" s="179" t="n">
        <v>2133771</v>
      </c>
    </row>
    <row r="12" ht="19.5" customHeight="1" s="102">
      <c r="A12" s="181" t="inlineStr">
        <is>
          <t>2026/07/31</t>
        </is>
      </c>
      <c r="B12" s="182" t="inlineStr">
        <is>
          <t>5月稼働分</t>
        </is>
      </c>
      <c r="C12" s="113" t="n">
        <v>120000</v>
      </c>
      <c r="D12" s="119" t="n">
        <v>12252</v>
      </c>
      <c r="E12" s="113" t="n">
        <v>132000</v>
      </c>
      <c r="F12" s="114" t="n">
        <v>119748</v>
      </c>
      <c r="G12" s="146" t="inlineStr">
        <is>
          <t>-</t>
        </is>
      </c>
      <c r="H12" s="176" t="inlineStr">
        <is>
          <t>-</t>
        </is>
      </c>
      <c r="I12" s="183" t="inlineStr">
        <is>
          <t>-</t>
        </is>
      </c>
      <c r="J12" s="185" t="inlineStr">
        <is>
          <t>-</t>
        </is>
      </c>
      <c r="K12" s="179" t="n">
        <v>119748</v>
      </c>
    </row>
    <row r="13" ht="19.5" customHeight="1" s="102">
      <c r="A13" s="180" t="inlineStr">
        <is>
          <t>7月 小計</t>
        </is>
      </c>
      <c r="B13" s="130" t="n"/>
      <c r="C13" s="131">
        <f>SUM(C8:C9)</f>
        <v/>
      </c>
      <c r="D13" s="131">
        <f>SUM(D8:D9)</f>
        <v/>
      </c>
      <c r="E13" s="131">
        <f>SUM(E8:E9)</f>
        <v/>
      </c>
      <c r="F13" s="131">
        <f>SUM(F8:F9)</f>
        <v/>
      </c>
      <c r="G13" s="131">
        <f>SUM(G8:G9)</f>
        <v/>
      </c>
      <c r="H13" s="131">
        <f>SUM(H8:H9)</f>
        <v/>
      </c>
      <c r="I13" s="131">
        <f>SUM(I8:I9)</f>
        <v/>
      </c>
      <c r="J13" s="131">
        <f>SUM(J8:J9)</f>
        <v/>
      </c>
      <c r="K13" s="131">
        <f>SUM(K8:K9)</f>
        <v/>
      </c>
    </row>
    <row r="14" ht="19.5" customHeight="1" s="102">
      <c r="A14" s="174" t="inlineStr">
        <is>
          <t>◆ 2026年8月 入金分</t>
        </is>
      </c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</row>
    <row r="15" ht="18" customHeight="1" s="102">
      <c r="A15" s="186" t="inlineStr">
        <is>
          <t>2026/08/15</t>
        </is>
      </c>
      <c r="B15" s="187" t="inlineStr">
        <is>
          <t>6月稼働分</t>
        </is>
      </c>
      <c r="C15" s="113" t="n">
        <v>428000</v>
      </c>
      <c r="D15" s="119">
        <f>C12*0.1021</f>
        <v/>
      </c>
      <c r="E15" s="113">
        <f>C12*1.1</f>
        <v/>
      </c>
      <c r="F15" s="114">
        <f>E12-D12</f>
        <v/>
      </c>
      <c r="G15" s="146" t="n">
        <v>92400</v>
      </c>
      <c r="H15" s="163" t="n">
        <v>509960</v>
      </c>
      <c r="I15" s="188" t="n">
        <v>100400</v>
      </c>
      <c r="J15" s="184" t="n">
        <v>116000</v>
      </c>
      <c r="K15" s="179">
        <f>F12+G12+H12-I12-J12</f>
        <v/>
      </c>
    </row>
    <row r="16" ht="19.5" customHeight="1" s="102">
      <c r="A16" s="186" t="inlineStr">
        <is>
          <t>2026/08/31</t>
        </is>
      </c>
      <c r="B16" s="187" t="inlineStr">
        <is>
          <t>7月稼働分</t>
        </is>
      </c>
      <c r="C16" s="113" t="n">
        <v>120000</v>
      </c>
      <c r="D16" s="119" t="n">
        <v>12252</v>
      </c>
      <c r="E16" s="113" t="n">
        <v>132000</v>
      </c>
      <c r="F16" s="114" t="n">
        <v>119748</v>
      </c>
      <c r="G16" s="146" t="n">
        <v>26400</v>
      </c>
      <c r="H16" s="176" t="inlineStr">
        <is>
          <t>-</t>
        </is>
      </c>
      <c r="I16" s="188" t="n">
        <v>18000</v>
      </c>
      <c r="J16" s="189" t="inlineStr">
        <is>
          <t>-</t>
        </is>
      </c>
      <c r="K16" s="179" t="n">
        <v>128148</v>
      </c>
    </row>
    <row r="17" ht="19.5" customHeight="1" s="102">
      <c r="A17" s="180" t="inlineStr">
        <is>
          <t>8月 小計</t>
        </is>
      </c>
      <c r="B17" s="130" t="n"/>
      <c r="C17" s="131">
        <f>SUM(C12:C13)</f>
        <v/>
      </c>
      <c r="D17" s="131">
        <f>SUM(D12:D13)</f>
        <v/>
      </c>
      <c r="E17" s="131">
        <f>SUM(E12:E13)</f>
        <v/>
      </c>
      <c r="F17" s="131">
        <f>SUM(F12:F13)</f>
        <v/>
      </c>
      <c r="G17" s="131">
        <f>SUM(G12:G13)</f>
        <v/>
      </c>
      <c r="H17" s="131">
        <f>SUM(H12:H13)</f>
        <v/>
      </c>
      <c r="I17" s="131">
        <f>SUM(I12:I13)</f>
        <v/>
      </c>
      <c r="J17" s="131">
        <f>SUM(J12:J13)</f>
        <v/>
      </c>
      <c r="K17" s="131">
        <f>SUM(K12:K13)</f>
        <v/>
      </c>
    </row>
    <row r="18" ht="19.5" customHeight="1" s="102">
      <c r="A18" s="174" t="inlineStr">
        <is>
          <t>◆ 2026年9月 入金分</t>
        </is>
      </c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</row>
    <row r="19" ht="18" customHeight="1" s="102">
      <c r="A19" s="190" t="inlineStr">
        <is>
          <t>2026/09/15</t>
        </is>
      </c>
      <c r="B19" s="191" t="inlineStr">
        <is>
          <t>7月稼働分</t>
        </is>
      </c>
      <c r="C19" s="113" t="n">
        <v>428000</v>
      </c>
      <c r="D19" s="119">
        <f>C16*0.1021</f>
        <v/>
      </c>
      <c r="E19" s="113">
        <f>C16*1.1</f>
        <v/>
      </c>
      <c r="F19" s="114">
        <f>E16-D16</f>
        <v/>
      </c>
      <c r="G19" s="146" t="n">
        <v>92400</v>
      </c>
      <c r="H19" s="163" t="n">
        <v>509960</v>
      </c>
      <c r="I19" s="192" t="n">
        <v>100400</v>
      </c>
      <c r="J19" s="184" t="n">
        <v>116000</v>
      </c>
      <c r="K19" s="179">
        <f>F16+G16+H16-I16-J16</f>
        <v/>
      </c>
    </row>
    <row r="20" ht="19.5" customHeight="1" s="102">
      <c r="A20" s="190" t="inlineStr">
        <is>
          <t>2026/09/30</t>
        </is>
      </c>
      <c r="B20" s="191" t="inlineStr">
        <is>
          <t>8月稼働分</t>
        </is>
      </c>
      <c r="C20" s="113" t="n">
        <v>120000</v>
      </c>
      <c r="D20" s="119" t="n">
        <v>12252</v>
      </c>
      <c r="E20" s="113" t="n">
        <v>132000</v>
      </c>
      <c r="F20" s="114" t="n">
        <v>119748</v>
      </c>
      <c r="G20" s="146" t="n">
        <v>26400</v>
      </c>
      <c r="H20" s="176" t="inlineStr">
        <is>
          <t>-</t>
        </is>
      </c>
      <c r="I20" s="192" t="n">
        <v>18000</v>
      </c>
      <c r="J20" s="193" t="inlineStr">
        <is>
          <t>-</t>
        </is>
      </c>
      <c r="K20" s="179" t="n">
        <v>128148</v>
      </c>
    </row>
    <row r="21" ht="19.5" customHeight="1" s="102">
      <c r="A21" s="180" t="inlineStr">
        <is>
          <t>9月 小計</t>
        </is>
      </c>
      <c r="B21" s="130" t="n"/>
      <c r="C21" s="131">
        <f>SUM(C16:C17)</f>
        <v/>
      </c>
      <c r="D21" s="131">
        <f>SUM(D16:D17)</f>
        <v/>
      </c>
      <c r="E21" s="131">
        <f>SUM(E16:E17)</f>
        <v/>
      </c>
      <c r="F21" s="131">
        <f>SUM(F16:F17)</f>
        <v/>
      </c>
      <c r="G21" s="131">
        <f>SUM(G16:G17)</f>
        <v/>
      </c>
      <c r="H21" s="131">
        <f>SUM(H16:H17)</f>
        <v/>
      </c>
      <c r="I21" s="131">
        <f>SUM(I16:I17)</f>
        <v/>
      </c>
      <c r="J21" s="131">
        <f>SUM(J16:J17)</f>
        <v/>
      </c>
      <c r="K21" s="131">
        <f>SUM(K16:K17)</f>
        <v/>
      </c>
    </row>
    <row r="22" ht="19.5" customHeight="1" s="102">
      <c r="A22" s="174" t="inlineStr">
        <is>
          <t>◆ 2026年10月 入金分</t>
        </is>
      </c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</row>
    <row r="23" ht="18" customHeight="1" s="102">
      <c r="A23" s="194" t="inlineStr">
        <is>
          <t>2026/10/15</t>
        </is>
      </c>
      <c r="B23" s="195" t="inlineStr">
        <is>
          <t>8月稼働分</t>
        </is>
      </c>
      <c r="C23" s="113" t="n">
        <v>428000</v>
      </c>
      <c r="D23" s="119">
        <f>C20*0.1021</f>
        <v/>
      </c>
      <c r="E23" s="113">
        <f>C20*1.1</f>
        <v/>
      </c>
      <c r="F23" s="114">
        <f>E20-D20</f>
        <v/>
      </c>
      <c r="G23" s="146" t="n">
        <v>92400</v>
      </c>
      <c r="H23" s="163" t="n">
        <v>509960</v>
      </c>
      <c r="I23" s="196" t="n">
        <v>100400</v>
      </c>
      <c r="J23" s="184" t="n">
        <v>116000</v>
      </c>
      <c r="K23" s="179">
        <f>F20+G20+H20-I20-J20</f>
        <v/>
      </c>
    </row>
    <row r="24" ht="19.5" customHeight="1" s="102">
      <c r="A24" s="194" t="inlineStr">
        <is>
          <t>2026/10/31</t>
        </is>
      </c>
      <c r="B24" s="195" t="inlineStr">
        <is>
          <t>9月稼働分</t>
        </is>
      </c>
      <c r="C24" s="113" t="n">
        <v>120000</v>
      </c>
      <c r="D24" s="119" t="n">
        <v>12252</v>
      </c>
      <c r="E24" s="113" t="n">
        <v>132000</v>
      </c>
      <c r="F24" s="114" t="n">
        <v>119748</v>
      </c>
      <c r="G24" s="146" t="n">
        <v>26400</v>
      </c>
      <c r="H24" s="176" t="inlineStr">
        <is>
          <t>-</t>
        </is>
      </c>
      <c r="I24" s="196" t="n">
        <v>18000</v>
      </c>
      <c r="J24" s="197" t="inlineStr">
        <is>
          <t>-</t>
        </is>
      </c>
      <c r="K24" s="179" t="n">
        <v>128148</v>
      </c>
    </row>
    <row r="25" ht="19.5" customHeight="1" s="102">
      <c r="A25" s="180" t="inlineStr">
        <is>
          <t>10月 小計</t>
        </is>
      </c>
      <c r="B25" s="130" t="n"/>
      <c r="C25" s="131">
        <f>SUM(C20:C21)</f>
        <v/>
      </c>
      <c r="D25" s="131">
        <f>SUM(D20:D21)</f>
        <v/>
      </c>
      <c r="E25" s="131">
        <f>SUM(E20:E21)</f>
        <v/>
      </c>
      <c r="F25" s="131">
        <f>SUM(F20:F21)</f>
        <v/>
      </c>
      <c r="G25" s="131">
        <f>SUM(G20:G21)</f>
        <v/>
      </c>
      <c r="H25" s="131">
        <f>SUM(H20:H21)</f>
        <v/>
      </c>
      <c r="I25" s="131">
        <f>SUM(I20:I21)</f>
        <v/>
      </c>
      <c r="J25" s="131">
        <f>SUM(J20:J21)</f>
        <v/>
      </c>
      <c r="K25" s="131">
        <f>SUM(K20:K21)</f>
        <v/>
      </c>
    </row>
    <row r="26" ht="19.5" customHeight="1" s="102">
      <c r="A26" s="174" t="inlineStr">
        <is>
          <t>◆ 2026年11月 入金分</t>
        </is>
      </c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</row>
    <row r="27">
      <c r="A27" s="198" t="inlineStr">
        <is>
          <t>2026/11/15</t>
        </is>
      </c>
      <c r="B27" s="199" t="inlineStr">
        <is>
          <t>9月稼働分</t>
        </is>
      </c>
      <c r="C27" s="113" t="n">
        <v>428000</v>
      </c>
      <c r="D27" s="119">
        <f>C24*0.1021</f>
        <v/>
      </c>
      <c r="E27" s="113">
        <f>C24*1.1</f>
        <v/>
      </c>
      <c r="F27" s="114">
        <f>E24-D24</f>
        <v/>
      </c>
      <c r="G27" s="146" t="n">
        <v>92400</v>
      </c>
      <c r="H27" s="163" t="n">
        <v>509960</v>
      </c>
      <c r="I27" s="200" t="n">
        <v>100400</v>
      </c>
      <c r="J27" s="184" t="n">
        <v>116000</v>
      </c>
      <c r="K27" s="179">
        <f>F24+G24+H24-I24-J24</f>
        <v/>
      </c>
    </row>
    <row r="28" ht="24" customHeight="1" s="102">
      <c r="A28" s="198" t="inlineStr">
        <is>
          <t>2026/11/30</t>
        </is>
      </c>
      <c r="B28" s="199" t="inlineStr">
        <is>
          <t>9月稼働分</t>
        </is>
      </c>
      <c r="C28" s="113" t="n">
        <v>105000</v>
      </c>
      <c r="D28" s="119" t="n">
        <v>10720</v>
      </c>
      <c r="E28" s="113" t="n">
        <v>115500</v>
      </c>
      <c r="F28" s="114" t="n">
        <v>104780</v>
      </c>
      <c r="G28" s="176" t="inlineStr">
        <is>
          <t>-</t>
        </is>
      </c>
      <c r="H28" s="176" t="inlineStr">
        <is>
          <t>-</t>
        </is>
      </c>
      <c r="I28" s="200" t="n">
        <v>18000</v>
      </c>
      <c r="J28" s="201" t="inlineStr">
        <is>
          <t>-</t>
        </is>
      </c>
      <c r="K28" s="179" t="n">
        <v>86780</v>
      </c>
    </row>
    <row r="29">
      <c r="A29" s="180" t="inlineStr">
        <is>
          <t>11月 小計</t>
        </is>
      </c>
      <c r="B29" s="130" t="n"/>
      <c r="C29" s="131">
        <f>SUM(C24:C25)</f>
        <v/>
      </c>
      <c r="D29" s="131">
        <f>SUM(D24:D25)</f>
        <v/>
      </c>
      <c r="E29" s="131">
        <f>SUM(E24:E25)</f>
        <v/>
      </c>
      <c r="F29" s="131">
        <f>SUM(F24:F25)</f>
        <v/>
      </c>
      <c r="G29" s="131">
        <f>SUM(G24:G25)</f>
        <v/>
      </c>
      <c r="H29" s="131">
        <f>SUM(H24:H25)</f>
        <v/>
      </c>
      <c r="I29" s="131">
        <f>SUM(I24:I25)</f>
        <v/>
      </c>
      <c r="J29" s="131">
        <f>SUM(J24:J25)</f>
        <v/>
      </c>
      <c r="K29" s="131">
        <f>SUM(K24:K25)</f>
        <v/>
      </c>
    </row>
    <row r="30"/>
    <row r="31">
      <c r="A31" s="202" t="inlineStr">
        <is>
          <t>総合計（5〜9月稼働分）</t>
        </is>
      </c>
      <c r="B31" s="130" t="n"/>
      <c r="C31" s="203">
        <f>SUM(C4:C26)</f>
        <v/>
      </c>
      <c r="D31" s="203">
        <f>SUM(D4:D26)</f>
        <v/>
      </c>
      <c r="E31" s="203">
        <f>SUM(E4:E26)</f>
        <v/>
      </c>
      <c r="F31" s="203">
        <f>SUM(F4:F26)</f>
        <v/>
      </c>
      <c r="G31" s="203">
        <f>SUM(G4:G26)</f>
        <v/>
      </c>
      <c r="H31" s="203">
        <f>SUM(H4:H26)</f>
        <v/>
      </c>
      <c r="I31" s="203">
        <f>SUM(I4:I26)</f>
        <v/>
      </c>
      <c r="J31" s="203">
        <f>SUM(J4:J26)</f>
        <v/>
      </c>
      <c r="K31" s="203">
        <f>SUM(K4:K26)</f>
        <v/>
      </c>
    </row>
    <row r="32">
      <c r="A32" s="101" t="inlineStr">
        <is>
          <t>※吉田祥平(2026/6〜): TERRA粗利5万×80%=4万(税抜)+FP粗利5万×48%=2.4万(税込26,400円)。月合計実入り約6.4万円。</t>
        </is>
      </c>
    </row>
  </sheetData>
  <mergeCells count="15">
    <mergeCell ref="A26:B26"/>
    <mergeCell ref="A2:L2"/>
    <mergeCell ref="A4:K4"/>
    <mergeCell ref="A15:K15"/>
    <mergeCell ref="A7:K7"/>
    <mergeCell ref="A1:L1"/>
    <mergeCell ref="A10:B10"/>
    <mergeCell ref="A28:B28"/>
    <mergeCell ref="A19:K19"/>
    <mergeCell ref="A11:K11"/>
    <mergeCell ref="A14:B14"/>
    <mergeCell ref="A18:B18"/>
    <mergeCell ref="A6:B6"/>
    <mergeCell ref="A23:K2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2026-05-13T10:03:01Z</dcterms:created>
  <dcterms:modified xmlns:dcterms="http://purl.org/dc/terms/" xmlns:xsi="http://www.w3.org/2001/XMLSchema-instance" xsi:type="dcterms:W3CDTF">2026-05-20T17:37:54Z</dcterms:modified>
  <cp:revision>0</cp:revision>
</cp:coreProperties>
</file>